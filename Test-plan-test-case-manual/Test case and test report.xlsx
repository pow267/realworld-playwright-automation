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defaultThemeVersion="124226"/>
  <mc:AlternateContent xmlns:mc="http://schemas.openxmlformats.org/markup-compatibility/2006">
    <mc:Choice Requires="x15">
      <x15ac:absPath xmlns:x15ac="http://schemas.microsoft.com/office/spreadsheetml/2010/11/ac" url="D:\working\waccache\SG2PEPF0001A893\EXCELCNV\b23c81d2-9ba9-4e57-8126-d3df15b1bc4d\"/>
    </mc:Choice>
  </mc:AlternateContent>
  <xr:revisionPtr revIDLastSave="0" documentId="8_{AF5CBFCF-547B-4646-8896-942FD342481C}" xr6:coauthVersionLast="47" xr6:coauthVersionMax="47" xr10:uidLastSave="{00000000-0000-0000-0000-000000000000}"/>
  <bookViews>
    <workbookView xWindow="-60" yWindow="-60" windowWidth="15480" windowHeight="11640" tabRatio="670" firstSheet="8" activeTab="10" xr2:uid="{F719E185-42C7-4ED2-A85A-4FD7246541CC}"/>
  </bookViews>
  <sheets>
    <sheet name="ReadMe" sheetId="14" r:id="rId1"/>
    <sheet name="Requirement Matrix" sheetId="19" r:id="rId2"/>
    <sheet name="Test Case List" sheetId="1" r:id="rId3"/>
    <sheet name="Test Case Coverage Plan" sheetId="2" r:id="rId4"/>
    <sheet name="Sprint 1" sheetId="3" r:id="rId5"/>
    <sheet name="Sprint 2" sheetId="4" r:id="rId6"/>
    <sheet name="Sprint 3" sheetId="5" r:id="rId7"/>
    <sheet name="Stats" sheetId="8" r:id="rId8"/>
    <sheet name="Pivot" sheetId="17" r:id="rId9"/>
    <sheet name="Test Case Status by Iteration" sheetId="18" r:id="rId10"/>
    <sheet name="Regression Testing" sheetId="20" r:id="rId11"/>
  </sheets>
  <externalReferences>
    <externalReference r:id="rId12"/>
  </externalReferences>
  <definedNames>
    <definedName name="_xlnm._FilterDatabase" localSheetId="7" hidden="1">Stats!$A$1:$H$232</definedName>
    <definedName name="_xlnm._FilterDatabase" localSheetId="3" hidden="1">'Test Case Coverage Plan'!$A$2:$H$2</definedName>
    <definedName name="_xlnm._FilterDatabase" localSheetId="2" hidden="1">'Test Case List'!$A$1:$M$1</definedName>
    <definedName name="_xlnm._FilterDatabase" localSheetId="4" hidden="1">'Sprint 1'!$A$1:$I$45</definedName>
    <definedName name="_xlnm._FilterDatabase" localSheetId="5" hidden="1">'Sprint 2'!$A$1:$I$48</definedName>
    <definedName name="_xlnm._FilterDatabase" localSheetId="6" hidden="1">'Sprint 3'!$A$1:$I$47</definedName>
    <definedName name="_xlnm.Print_Area" localSheetId="7">Stats!$A$1:$H$128</definedName>
    <definedName name="_xlnm.Print_Area" localSheetId="3">'Test Case Coverage Plan'!$A$1:$H$27</definedName>
    <definedName name="_xlnm.Print_Area" localSheetId="2">'Test Case List'!$A$1:$M$31</definedName>
    <definedName name="_xlnm.Print_Area" localSheetId="4">'Sprint 1'!$A$1:$I$26</definedName>
    <definedName name="_xlnm.Print_Area" localSheetId="5">'Sprint 2'!$A$1:$I$26</definedName>
    <definedName name="_xlnm.Print_Area" localSheetId="6">'Sprint 3'!$A$1:$I$26</definedName>
    <definedName name="_xlnm.Print_Titles" localSheetId="7">Stats!$1:$1</definedName>
    <definedName name="_xlnm.Print_Titles" localSheetId="3">'Test Case Coverage Plan'!$1:$1</definedName>
    <definedName name="_xlnm.Print_Titles" localSheetId="2">'Test Case List'!$A:$C,'Test Case List'!$1:$1</definedName>
    <definedName name="_xlnm.Print_Titles" localSheetId="4">'Sprint 1'!$1:$1</definedName>
    <definedName name="_xlnm.Print_Titles" localSheetId="5">'Sprint 2'!$1:$1</definedName>
    <definedName name="_xlnm.Print_Titles" localSheetId="6">'Sprint 3'!$1:$1</definedName>
  </definedNames>
  <calcPr calcId="191028"/>
  <pivotCaches>
    <pivotCache cacheId="487" r:id="rId13"/>
    <pivotCache cacheId="49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4" l="1"/>
  <c r="K19" i="20"/>
  <c r="D3" i="20"/>
  <c r="D4" i="20"/>
  <c r="D5" i="20"/>
  <c r="D6" i="20"/>
  <c r="D7" i="20"/>
  <c r="D8" i="20"/>
  <c r="D9" i="20"/>
  <c r="D10" i="20"/>
  <c r="D11" i="20"/>
  <c r="D12" i="20"/>
  <c r="D13" i="20"/>
  <c r="D14" i="20"/>
  <c r="D15" i="20"/>
  <c r="D16" i="20"/>
  <c r="D17" i="20"/>
  <c r="D18" i="20"/>
  <c r="D19" i="20"/>
  <c r="D20" i="20"/>
  <c r="D21" i="20"/>
  <c r="D22" i="20"/>
  <c r="D2" i="20"/>
  <c r="A2" i="20"/>
  <c r="B2" i="20"/>
  <c r="C2" i="20"/>
  <c r="E2" i="20"/>
  <c r="F2" i="20"/>
  <c r="H2" i="20"/>
  <c r="A3" i="20"/>
  <c r="B3" i="20"/>
  <c r="C3" i="20"/>
  <c r="E3" i="20"/>
  <c r="F3" i="20"/>
  <c r="H3" i="20"/>
  <c r="A4" i="20"/>
  <c r="B4" i="20"/>
  <c r="C4" i="20"/>
  <c r="E4" i="20"/>
  <c r="F4" i="20"/>
  <c r="H4" i="20"/>
  <c r="A5" i="20"/>
  <c r="B5" i="20"/>
  <c r="C5" i="20"/>
  <c r="E5" i="20"/>
  <c r="F5" i="20"/>
  <c r="H5" i="20"/>
  <c r="A6" i="20"/>
  <c r="B6" i="20"/>
  <c r="C6" i="20"/>
  <c r="E6" i="20"/>
  <c r="F6" i="20"/>
  <c r="H6" i="20"/>
  <c r="A7" i="20"/>
  <c r="B7" i="20"/>
  <c r="C7" i="20"/>
  <c r="E7" i="20"/>
  <c r="F7" i="20"/>
  <c r="H7" i="20"/>
  <c r="A8" i="20"/>
  <c r="B8" i="20"/>
  <c r="C8" i="20"/>
  <c r="E8" i="20"/>
  <c r="F8" i="20"/>
  <c r="H8" i="20"/>
  <c r="A9" i="20"/>
  <c r="B9" i="20"/>
  <c r="C9" i="20"/>
  <c r="E9" i="20"/>
  <c r="F9" i="20"/>
  <c r="H9" i="20"/>
  <c r="A10" i="20"/>
  <c r="B10" i="20"/>
  <c r="C10" i="20"/>
  <c r="E10" i="20"/>
  <c r="F10" i="20"/>
  <c r="H10" i="20"/>
  <c r="A11" i="20"/>
  <c r="B11" i="20"/>
  <c r="C11" i="20"/>
  <c r="E11" i="20"/>
  <c r="F11" i="20"/>
  <c r="H11" i="20"/>
  <c r="A12" i="20"/>
  <c r="B12" i="20"/>
  <c r="C12" i="20"/>
  <c r="E12" i="20"/>
  <c r="F12" i="20"/>
  <c r="H12" i="20"/>
  <c r="A13" i="20"/>
  <c r="B13" i="20"/>
  <c r="C13" i="20"/>
  <c r="E13" i="20"/>
  <c r="F13" i="20"/>
  <c r="H13" i="20"/>
  <c r="A14" i="20"/>
  <c r="B14" i="20"/>
  <c r="C14" i="20"/>
  <c r="E14" i="20"/>
  <c r="F14" i="20"/>
  <c r="H14" i="20"/>
  <c r="A15" i="20"/>
  <c r="B15" i="20"/>
  <c r="C15" i="20"/>
  <c r="E15" i="20"/>
  <c r="F15" i="20"/>
  <c r="H15" i="20"/>
  <c r="A16" i="20"/>
  <c r="B16" i="20"/>
  <c r="C16" i="20"/>
  <c r="E16" i="20"/>
  <c r="F16" i="20"/>
  <c r="H16" i="20"/>
  <c r="A17" i="20"/>
  <c r="B17" i="20"/>
  <c r="C17" i="20"/>
  <c r="E17" i="20"/>
  <c r="F17" i="20"/>
  <c r="H17" i="20"/>
  <c r="A18" i="20"/>
  <c r="B18" i="20"/>
  <c r="C18" i="20"/>
  <c r="E18" i="20"/>
  <c r="F18" i="20"/>
  <c r="H18" i="20"/>
  <c r="A19" i="20"/>
  <c r="B19" i="20"/>
  <c r="C19" i="20"/>
  <c r="E19" i="20"/>
  <c r="F19" i="20"/>
  <c r="H19" i="20"/>
  <c r="A20" i="20"/>
  <c r="B20" i="20"/>
  <c r="C20" i="20"/>
  <c r="E20" i="20"/>
  <c r="F20" i="20"/>
  <c r="H20" i="20"/>
  <c r="A21" i="20"/>
  <c r="B21" i="20"/>
  <c r="C21" i="20"/>
  <c r="E21" i="20"/>
  <c r="F21" i="20"/>
  <c r="H21" i="20"/>
  <c r="A22" i="20"/>
  <c r="B22" i="20"/>
  <c r="C22" i="20"/>
  <c r="E22" i="20"/>
  <c r="F22" i="20"/>
  <c r="H22" i="20"/>
  <c r="I62" i="8"/>
  <c r="I63" i="8"/>
  <c r="I64" i="8"/>
  <c r="H62" i="8"/>
  <c r="H63" i="8"/>
  <c r="H64" i="8"/>
  <c r="G62" i="8"/>
  <c r="G63" i="8"/>
  <c r="G64" i="8"/>
  <c r="F62" i="8"/>
  <c r="F63" i="8"/>
  <c r="F64" i="8"/>
  <c r="E62" i="8"/>
  <c r="E63" i="8"/>
  <c r="E64" i="8"/>
  <c r="C62" i="8"/>
  <c r="C63" i="8"/>
  <c r="C64" i="8"/>
  <c r="I41" i="8"/>
  <c r="I42" i="8"/>
  <c r="I43" i="8"/>
  <c r="H41" i="8"/>
  <c r="H42" i="8"/>
  <c r="H43" i="8"/>
  <c r="G41" i="8"/>
  <c r="G42" i="8"/>
  <c r="G43" i="8"/>
  <c r="F41" i="8"/>
  <c r="F42" i="8"/>
  <c r="F43" i="8"/>
  <c r="E41" i="8"/>
  <c r="E42" i="8"/>
  <c r="E43" i="8"/>
  <c r="C41" i="8"/>
  <c r="C42" i="8"/>
  <c r="C43" i="8"/>
  <c r="I20" i="8"/>
  <c r="I21" i="8"/>
  <c r="I22" i="8"/>
  <c r="H20" i="8"/>
  <c r="H21" i="8"/>
  <c r="H22" i="8"/>
  <c r="G20" i="8"/>
  <c r="G21" i="8"/>
  <c r="G22" i="8"/>
  <c r="F20" i="8"/>
  <c r="F21" i="8"/>
  <c r="F22" i="8"/>
  <c r="E20" i="8"/>
  <c r="E21" i="8"/>
  <c r="E22" i="8"/>
  <c r="C20" i="8"/>
  <c r="C21" i="8"/>
  <c r="C22" i="8"/>
  <c r="C20" i="5"/>
  <c r="C21" i="5"/>
  <c r="C22" i="5"/>
  <c r="B20" i="5"/>
  <c r="B62" i="8" s="1"/>
  <c r="B21" i="5"/>
  <c r="B63" i="8" s="1"/>
  <c r="B22" i="5"/>
  <c r="B64" i="8" s="1"/>
  <c r="A20" i="5"/>
  <c r="A21" i="5"/>
  <c r="A22" i="5"/>
  <c r="C20" i="4"/>
  <c r="C21" i="4"/>
  <c r="C22" i="4"/>
  <c r="B20" i="4"/>
  <c r="B41" i="8" s="1"/>
  <c r="B21" i="4"/>
  <c r="B42" i="8" s="1"/>
  <c r="B22" i="4"/>
  <c r="B43" i="8" s="1"/>
  <c r="A20" i="4"/>
  <c r="A21" i="4"/>
  <c r="A22" i="4"/>
  <c r="C20" i="3"/>
  <c r="C21" i="3"/>
  <c r="C22" i="3"/>
  <c r="B20" i="3"/>
  <c r="B20" i="8" s="1"/>
  <c r="B21" i="3"/>
  <c r="B21" i="8" s="1"/>
  <c r="B22" i="3"/>
  <c r="B22" i="8" s="1"/>
  <c r="A20" i="3"/>
  <c r="A21" i="3"/>
  <c r="A22" i="3"/>
  <c r="C4" i="2"/>
  <c r="C5" i="2"/>
  <c r="C6" i="2"/>
  <c r="C7" i="2"/>
  <c r="C8" i="2"/>
  <c r="C9" i="2"/>
  <c r="C10" i="2"/>
  <c r="C11" i="2"/>
  <c r="C12" i="2"/>
  <c r="C13" i="2"/>
  <c r="C14" i="2"/>
  <c r="C15" i="2"/>
  <c r="C16" i="2"/>
  <c r="C17" i="2"/>
  <c r="C18" i="2"/>
  <c r="C19" i="2"/>
  <c r="C20" i="2"/>
  <c r="C21" i="2"/>
  <c r="C22" i="2"/>
  <c r="C23" i="2"/>
  <c r="C3" i="2"/>
  <c r="B21" i="2"/>
  <c r="B22" i="2"/>
  <c r="B23" i="2"/>
  <c r="A21" i="2"/>
  <c r="A22" i="2"/>
  <c r="A23" i="2"/>
  <c r="I45" i="8"/>
  <c r="I46" i="8"/>
  <c r="I47" i="8"/>
  <c r="I48" i="8"/>
  <c r="I49" i="8"/>
  <c r="I50" i="8"/>
  <c r="I51" i="8"/>
  <c r="I52" i="8"/>
  <c r="I53" i="8"/>
  <c r="I54" i="8"/>
  <c r="I55" i="8"/>
  <c r="I56" i="8"/>
  <c r="I57" i="8"/>
  <c r="I58" i="8"/>
  <c r="I59" i="8"/>
  <c r="I60" i="8"/>
  <c r="I61" i="8"/>
  <c r="I44" i="8"/>
  <c r="H45" i="8"/>
  <c r="H46" i="8"/>
  <c r="H47" i="8"/>
  <c r="H48" i="8"/>
  <c r="H49" i="8"/>
  <c r="H50" i="8"/>
  <c r="H51" i="8"/>
  <c r="H52" i="8"/>
  <c r="H53" i="8"/>
  <c r="H54" i="8"/>
  <c r="H55" i="8"/>
  <c r="H56" i="8"/>
  <c r="H57" i="8"/>
  <c r="H58" i="8"/>
  <c r="H59" i="8"/>
  <c r="H60" i="8"/>
  <c r="H61" i="8"/>
  <c r="H44" i="8"/>
  <c r="G45" i="8"/>
  <c r="G46" i="8"/>
  <c r="G47" i="8"/>
  <c r="G48" i="8"/>
  <c r="G49" i="8"/>
  <c r="G50" i="8"/>
  <c r="G51" i="8"/>
  <c r="G52" i="8"/>
  <c r="G53" i="8"/>
  <c r="G54" i="8"/>
  <c r="G55" i="8"/>
  <c r="G56" i="8"/>
  <c r="G57" i="8"/>
  <c r="G58" i="8"/>
  <c r="G59" i="8"/>
  <c r="G60" i="8"/>
  <c r="G61" i="8"/>
  <c r="G44" i="8"/>
  <c r="F45" i="8"/>
  <c r="F46" i="8"/>
  <c r="F47" i="8"/>
  <c r="F48" i="8"/>
  <c r="F49" i="8"/>
  <c r="F50" i="8"/>
  <c r="F51" i="8"/>
  <c r="F52" i="8"/>
  <c r="F53" i="8"/>
  <c r="F54" i="8"/>
  <c r="F55" i="8"/>
  <c r="F56" i="8"/>
  <c r="F57" i="8"/>
  <c r="F58" i="8"/>
  <c r="F59" i="8"/>
  <c r="F60" i="8"/>
  <c r="F61" i="8"/>
  <c r="F44" i="8"/>
  <c r="E45" i="8"/>
  <c r="E46" i="8"/>
  <c r="E47" i="8"/>
  <c r="E48" i="8"/>
  <c r="E49" i="8"/>
  <c r="E50" i="8"/>
  <c r="E51" i="8"/>
  <c r="E52" i="8"/>
  <c r="E53" i="8"/>
  <c r="E54" i="8"/>
  <c r="E55" i="8"/>
  <c r="E56" i="8"/>
  <c r="E57" i="8"/>
  <c r="E58" i="8"/>
  <c r="E59" i="8"/>
  <c r="E60" i="8"/>
  <c r="E61" i="8"/>
  <c r="E44" i="8"/>
  <c r="C45" i="8"/>
  <c r="C46" i="8"/>
  <c r="C47" i="8"/>
  <c r="C48" i="8"/>
  <c r="C49" i="8"/>
  <c r="C50" i="8"/>
  <c r="C51" i="8"/>
  <c r="C52" i="8"/>
  <c r="C53" i="8"/>
  <c r="C54" i="8"/>
  <c r="C55" i="8"/>
  <c r="C56" i="8"/>
  <c r="C57" i="8"/>
  <c r="C58" i="8"/>
  <c r="C59" i="8"/>
  <c r="C60" i="8"/>
  <c r="C61" i="8"/>
  <c r="C44" i="8"/>
  <c r="I24" i="8"/>
  <c r="I25" i="8"/>
  <c r="I26" i="8"/>
  <c r="I27" i="8"/>
  <c r="I28" i="8"/>
  <c r="I29" i="8"/>
  <c r="I30" i="8"/>
  <c r="I31" i="8"/>
  <c r="I32" i="8"/>
  <c r="I33" i="8"/>
  <c r="I34" i="8"/>
  <c r="I35" i="8"/>
  <c r="I36" i="8"/>
  <c r="I37" i="8"/>
  <c r="I38" i="8"/>
  <c r="I39" i="8"/>
  <c r="I40" i="8"/>
  <c r="I23" i="8"/>
  <c r="H24" i="8"/>
  <c r="H25" i="8"/>
  <c r="H26" i="8"/>
  <c r="H27" i="8"/>
  <c r="H28" i="8"/>
  <c r="H29" i="8"/>
  <c r="H30" i="8"/>
  <c r="H31" i="8"/>
  <c r="H32" i="8"/>
  <c r="H33" i="8"/>
  <c r="H34" i="8"/>
  <c r="H35" i="8"/>
  <c r="H36" i="8"/>
  <c r="H37" i="8"/>
  <c r="H38" i="8"/>
  <c r="H39" i="8"/>
  <c r="H40" i="8"/>
  <c r="H23" i="8"/>
  <c r="G24" i="8"/>
  <c r="G25" i="8"/>
  <c r="G26" i="8"/>
  <c r="G27" i="8"/>
  <c r="G28" i="8"/>
  <c r="G29" i="8"/>
  <c r="G30" i="8"/>
  <c r="G31" i="8"/>
  <c r="G32" i="8"/>
  <c r="G33" i="8"/>
  <c r="G34" i="8"/>
  <c r="G35" i="8"/>
  <c r="G36" i="8"/>
  <c r="G37" i="8"/>
  <c r="G38" i="8"/>
  <c r="G39" i="8"/>
  <c r="G40" i="8"/>
  <c r="G23" i="8"/>
  <c r="F24" i="8"/>
  <c r="F25" i="8"/>
  <c r="F26" i="8"/>
  <c r="F27" i="8"/>
  <c r="F28" i="8"/>
  <c r="F29" i="8"/>
  <c r="F30" i="8"/>
  <c r="F31" i="8"/>
  <c r="F32" i="8"/>
  <c r="F33" i="8"/>
  <c r="F34" i="8"/>
  <c r="F35" i="8"/>
  <c r="F36" i="8"/>
  <c r="F37" i="8"/>
  <c r="F38" i="8"/>
  <c r="F39" i="8"/>
  <c r="F40" i="8"/>
  <c r="F23" i="8"/>
  <c r="E24" i="8"/>
  <c r="E25" i="8"/>
  <c r="E26" i="8"/>
  <c r="E27" i="8"/>
  <c r="E28" i="8"/>
  <c r="E29" i="8"/>
  <c r="E30" i="8"/>
  <c r="E31" i="8"/>
  <c r="E32" i="8"/>
  <c r="E33" i="8"/>
  <c r="E34" i="8"/>
  <c r="E35" i="8"/>
  <c r="E36" i="8"/>
  <c r="E37" i="8"/>
  <c r="E38" i="8"/>
  <c r="E39" i="8"/>
  <c r="E40" i="8"/>
  <c r="E23" i="8"/>
  <c r="C24" i="8"/>
  <c r="C25" i="8"/>
  <c r="C26" i="8"/>
  <c r="C27" i="8"/>
  <c r="C28" i="8"/>
  <c r="C29" i="8"/>
  <c r="C30" i="8"/>
  <c r="C31" i="8"/>
  <c r="C32" i="8"/>
  <c r="C33" i="8"/>
  <c r="C34" i="8"/>
  <c r="C35" i="8"/>
  <c r="C36" i="8"/>
  <c r="C37" i="8"/>
  <c r="C38" i="8"/>
  <c r="C39" i="8"/>
  <c r="C40" i="8"/>
  <c r="C23" i="8"/>
  <c r="I3" i="8"/>
  <c r="I4" i="8"/>
  <c r="I5" i="8"/>
  <c r="I6" i="8"/>
  <c r="I7" i="8"/>
  <c r="I8" i="8"/>
  <c r="I9" i="8"/>
  <c r="I10" i="8"/>
  <c r="I11" i="8"/>
  <c r="I12" i="8"/>
  <c r="I13" i="8"/>
  <c r="I14" i="8"/>
  <c r="I15" i="8"/>
  <c r="I16" i="8"/>
  <c r="I17" i="8"/>
  <c r="I18" i="8"/>
  <c r="I19" i="8"/>
  <c r="H3" i="8"/>
  <c r="H4" i="8"/>
  <c r="H5" i="8"/>
  <c r="H6" i="8"/>
  <c r="H7" i="8"/>
  <c r="H8" i="8"/>
  <c r="H9" i="8"/>
  <c r="H10" i="8"/>
  <c r="H11" i="8"/>
  <c r="H12" i="8"/>
  <c r="H13" i="8"/>
  <c r="H14" i="8"/>
  <c r="H15" i="8"/>
  <c r="H16" i="8"/>
  <c r="H17" i="8"/>
  <c r="H18" i="8"/>
  <c r="H19" i="8"/>
  <c r="G3" i="8"/>
  <c r="G4" i="8"/>
  <c r="G5" i="8"/>
  <c r="G6" i="8"/>
  <c r="G7" i="8"/>
  <c r="G8" i="8"/>
  <c r="G9" i="8"/>
  <c r="G10" i="8"/>
  <c r="G11" i="8"/>
  <c r="G12" i="8"/>
  <c r="G13" i="8"/>
  <c r="G14" i="8"/>
  <c r="G15" i="8"/>
  <c r="G16" i="8"/>
  <c r="G17" i="8"/>
  <c r="G18" i="8"/>
  <c r="G19" i="8"/>
  <c r="F3" i="8"/>
  <c r="F4" i="8"/>
  <c r="F5" i="8"/>
  <c r="F6" i="8"/>
  <c r="F7" i="8"/>
  <c r="F8" i="8"/>
  <c r="F9" i="8"/>
  <c r="F10" i="8"/>
  <c r="F11" i="8"/>
  <c r="F12" i="8"/>
  <c r="F13" i="8"/>
  <c r="F14" i="8"/>
  <c r="F15" i="8"/>
  <c r="F16" i="8"/>
  <c r="F17" i="8"/>
  <c r="F18" i="8"/>
  <c r="F19" i="8"/>
  <c r="C3" i="8"/>
  <c r="C4" i="8"/>
  <c r="C5" i="8"/>
  <c r="C6" i="8"/>
  <c r="C7" i="8"/>
  <c r="C8" i="8"/>
  <c r="C9" i="8"/>
  <c r="C10" i="8"/>
  <c r="C11" i="8"/>
  <c r="C12" i="8"/>
  <c r="C13" i="8"/>
  <c r="C14" i="8"/>
  <c r="C15" i="8"/>
  <c r="C16" i="8"/>
  <c r="C17" i="8"/>
  <c r="C18" i="8"/>
  <c r="C19" i="8"/>
  <c r="C3" i="5"/>
  <c r="C4" i="5"/>
  <c r="C5" i="5"/>
  <c r="C6" i="5"/>
  <c r="C7" i="5"/>
  <c r="C8" i="5"/>
  <c r="C9" i="5"/>
  <c r="C10" i="5"/>
  <c r="C11" i="5"/>
  <c r="C12" i="5"/>
  <c r="C13" i="5"/>
  <c r="C14" i="5"/>
  <c r="C15" i="5"/>
  <c r="C16" i="5"/>
  <c r="C17" i="5"/>
  <c r="C18" i="5"/>
  <c r="C19" i="5"/>
  <c r="C2" i="5"/>
  <c r="B3" i="5"/>
  <c r="B45" i="8" s="1"/>
  <c r="B4" i="5"/>
  <c r="B46" i="8" s="1"/>
  <c r="B5" i="5"/>
  <c r="B47" i="8" s="1"/>
  <c r="B6" i="5"/>
  <c r="B48" i="8" s="1"/>
  <c r="B7" i="5"/>
  <c r="B49" i="8" s="1"/>
  <c r="B8" i="5"/>
  <c r="B50" i="8" s="1"/>
  <c r="B9" i="5"/>
  <c r="B51" i="8" s="1"/>
  <c r="B10" i="5"/>
  <c r="B52" i="8" s="1"/>
  <c r="B11" i="5"/>
  <c r="B53" i="8" s="1"/>
  <c r="B12" i="5"/>
  <c r="B54" i="8" s="1"/>
  <c r="B13" i="5"/>
  <c r="B55" i="8" s="1"/>
  <c r="B14" i="5"/>
  <c r="B56" i="8" s="1"/>
  <c r="B15" i="5"/>
  <c r="B57" i="8" s="1"/>
  <c r="B16" i="5"/>
  <c r="B58" i="8" s="1"/>
  <c r="B17" i="5"/>
  <c r="B59" i="8" s="1"/>
  <c r="B18" i="5"/>
  <c r="B60" i="8" s="1"/>
  <c r="B19" i="5"/>
  <c r="B61" i="8" s="1"/>
  <c r="A18" i="5"/>
  <c r="A19" i="5"/>
  <c r="A3" i="5"/>
  <c r="A4" i="5"/>
  <c r="A5" i="5"/>
  <c r="A6" i="5"/>
  <c r="A7" i="5"/>
  <c r="A8" i="5"/>
  <c r="A9" i="5"/>
  <c r="A10" i="5"/>
  <c r="A11" i="5"/>
  <c r="A12" i="5"/>
  <c r="A13" i="5"/>
  <c r="A14" i="5"/>
  <c r="A15" i="5"/>
  <c r="A16" i="5"/>
  <c r="A17" i="5"/>
  <c r="C3" i="4"/>
  <c r="C4" i="4"/>
  <c r="C5" i="4"/>
  <c r="C6" i="4"/>
  <c r="C7" i="4"/>
  <c r="C8" i="4"/>
  <c r="C9" i="4"/>
  <c r="C10" i="4"/>
  <c r="C11" i="4"/>
  <c r="C12" i="4"/>
  <c r="C13" i="4"/>
  <c r="C14" i="4"/>
  <c r="C15" i="4"/>
  <c r="C16" i="4"/>
  <c r="C17" i="4"/>
  <c r="C18" i="4"/>
  <c r="C19" i="4"/>
  <c r="C2" i="4"/>
  <c r="C3" i="3"/>
  <c r="C4" i="3"/>
  <c r="C5" i="3"/>
  <c r="C6" i="3"/>
  <c r="C7" i="3"/>
  <c r="C8" i="3"/>
  <c r="C9" i="3"/>
  <c r="C10" i="3"/>
  <c r="C11" i="3"/>
  <c r="C12" i="3"/>
  <c r="C13" i="3"/>
  <c r="C14" i="3"/>
  <c r="C15" i="3"/>
  <c r="C16" i="3"/>
  <c r="C17" i="3"/>
  <c r="C18" i="3"/>
  <c r="C19" i="3"/>
  <c r="C2" i="3"/>
  <c r="B3" i="4"/>
  <c r="B24" i="8" s="1"/>
  <c r="B4" i="4"/>
  <c r="B25" i="8" s="1"/>
  <c r="B5" i="4"/>
  <c r="B26" i="8" s="1"/>
  <c r="B6" i="4"/>
  <c r="B27" i="8" s="1"/>
  <c r="B7" i="4"/>
  <c r="B28" i="8" s="1"/>
  <c r="B8" i="4"/>
  <c r="B29" i="8" s="1"/>
  <c r="B9" i="4"/>
  <c r="B30" i="8" s="1"/>
  <c r="B10" i="4"/>
  <c r="B31" i="8" s="1"/>
  <c r="B11" i="4"/>
  <c r="B32" i="8" s="1"/>
  <c r="B12" i="4"/>
  <c r="B33" i="8" s="1"/>
  <c r="B13" i="4"/>
  <c r="B34" i="8" s="1"/>
  <c r="B14" i="4"/>
  <c r="B35" i="8" s="1"/>
  <c r="B15" i="4"/>
  <c r="B36" i="8" s="1"/>
  <c r="B16" i="4"/>
  <c r="B37" i="8" s="1"/>
  <c r="B17" i="4"/>
  <c r="B38" i="8" s="1"/>
  <c r="B18" i="4"/>
  <c r="B39" i="8" s="1"/>
  <c r="B19" i="4"/>
  <c r="B40" i="8" s="1"/>
  <c r="A18" i="4"/>
  <c r="A19" i="4"/>
  <c r="A3" i="4"/>
  <c r="A4" i="4"/>
  <c r="A5" i="4"/>
  <c r="A6" i="4"/>
  <c r="A7" i="4"/>
  <c r="A8" i="4"/>
  <c r="A9" i="4"/>
  <c r="A11" i="4"/>
  <c r="A12" i="4"/>
  <c r="A13" i="4"/>
  <c r="A14" i="4"/>
  <c r="A15" i="4"/>
  <c r="A16" i="4"/>
  <c r="A17" i="4"/>
  <c r="B3" i="3"/>
  <c r="B3" i="8" s="1"/>
  <c r="B4" i="3"/>
  <c r="B4" i="8" s="1"/>
  <c r="B5" i="3"/>
  <c r="B5" i="8" s="1"/>
  <c r="B6" i="3"/>
  <c r="B6" i="8" s="1"/>
  <c r="B7" i="3"/>
  <c r="B7" i="8" s="1"/>
  <c r="B8" i="3"/>
  <c r="B8" i="8" s="1"/>
  <c r="B9" i="3"/>
  <c r="B9" i="8" s="1"/>
  <c r="B10" i="3"/>
  <c r="B10" i="8" s="1"/>
  <c r="B11" i="3"/>
  <c r="B11" i="8" s="1"/>
  <c r="B12" i="3"/>
  <c r="B12" i="8" s="1"/>
  <c r="B13" i="3"/>
  <c r="B13" i="8" s="1"/>
  <c r="B14" i="3"/>
  <c r="B14" i="8" s="1"/>
  <c r="B15" i="3"/>
  <c r="B15" i="8" s="1"/>
  <c r="B16" i="3"/>
  <c r="B16" i="8" s="1"/>
  <c r="B17" i="3"/>
  <c r="B17" i="8" s="1"/>
  <c r="B18" i="3"/>
  <c r="B18" i="8" s="1"/>
  <c r="B19" i="3"/>
  <c r="B19" i="8" s="1"/>
  <c r="A3" i="3"/>
  <c r="A4" i="3"/>
  <c r="A5" i="3"/>
  <c r="A6" i="3"/>
  <c r="A7" i="3"/>
  <c r="A8" i="3"/>
  <c r="A9" i="3"/>
  <c r="A10" i="3"/>
  <c r="A11" i="3"/>
  <c r="A12" i="3"/>
  <c r="A13" i="3"/>
  <c r="A14" i="3"/>
  <c r="A15" i="3"/>
  <c r="A16" i="3"/>
  <c r="A17" i="3"/>
  <c r="A18" i="3"/>
  <c r="A19" i="3"/>
  <c r="B4" i="2"/>
  <c r="B5" i="2"/>
  <c r="B6" i="2"/>
  <c r="B7" i="2"/>
  <c r="B8" i="2"/>
  <c r="B9" i="2"/>
  <c r="B10" i="2"/>
  <c r="B11" i="2"/>
  <c r="B12" i="2"/>
  <c r="B13" i="2"/>
  <c r="B14" i="2"/>
  <c r="B15" i="2"/>
  <c r="B16" i="2"/>
  <c r="B17" i="2"/>
  <c r="B18" i="2"/>
  <c r="B19" i="2"/>
  <c r="B20" i="2"/>
  <c r="A4" i="2"/>
  <c r="A5" i="2"/>
  <c r="A6" i="2"/>
  <c r="A7" i="2"/>
  <c r="A8" i="2"/>
  <c r="A9" i="2"/>
  <c r="A10" i="2"/>
  <c r="A11" i="2"/>
  <c r="A12" i="2"/>
  <c r="A13" i="2"/>
  <c r="A14" i="2"/>
  <c r="A15" i="2"/>
  <c r="A16" i="2"/>
  <c r="A17" i="2"/>
  <c r="A18" i="2"/>
  <c r="A19" i="2"/>
  <c r="A20" i="2"/>
  <c r="I2" i="8"/>
  <c r="E3" i="8"/>
  <c r="E4" i="8"/>
  <c r="E5" i="8"/>
  <c r="E6" i="8"/>
  <c r="E7" i="8"/>
  <c r="E8" i="8"/>
  <c r="E9" i="8"/>
  <c r="E10" i="8"/>
  <c r="E11" i="8"/>
  <c r="E12" i="8"/>
  <c r="E13" i="8"/>
  <c r="E14" i="8"/>
  <c r="E15" i="8"/>
  <c r="E16" i="8"/>
  <c r="E17" i="8"/>
  <c r="E18" i="8"/>
  <c r="E19" i="8"/>
  <c r="B3" i="2"/>
  <c r="H2" i="8"/>
  <c r="G2" i="8"/>
  <c r="F2" i="8"/>
  <c r="A3" i="2"/>
  <c r="E2" i="8"/>
  <c r="C2" i="8"/>
  <c r="A2" i="5"/>
  <c r="B2" i="5"/>
  <c r="B44" i="8" s="1"/>
  <c r="A2" i="4"/>
  <c r="B2" i="4"/>
  <c r="B23" i="8" s="1"/>
  <c r="B2" i="3"/>
  <c r="B2" i="8"/>
  <c r="A2" i="3"/>
  <c r="K18" i="20" l="1"/>
  <c r="D19" i="3"/>
  <c r="A22" i="8"/>
  <c r="D22" i="3"/>
  <c r="D22" i="8" s="1"/>
  <c r="A21" i="8"/>
  <c r="D21" i="3"/>
  <c r="D21" i="8" s="1"/>
  <c r="A20" i="8"/>
  <c r="D20" i="3"/>
  <c r="D20" i="8" s="1"/>
  <c r="A43" i="8"/>
  <c r="D22" i="4"/>
  <c r="D43" i="8" s="1"/>
  <c r="A42" i="8"/>
  <c r="D21" i="4"/>
  <c r="D42" i="8" s="1"/>
  <c r="A41" i="8"/>
  <c r="D20" i="4"/>
  <c r="D41" i="8" s="1"/>
  <c r="A64" i="8"/>
  <c r="D22" i="5"/>
  <c r="D64" i="8" s="1"/>
  <c r="A63" i="8"/>
  <c r="D21" i="5"/>
  <c r="D63" i="8" s="1"/>
  <c r="A62" i="8"/>
  <c r="D20" i="5"/>
  <c r="D62" i="8" s="1"/>
  <c r="D2" i="3"/>
  <c r="D2" i="8" s="1"/>
  <c r="A2" i="8"/>
  <c r="A23" i="8"/>
  <c r="D2" i="4"/>
  <c r="D23" i="8" s="1"/>
  <c r="A44" i="8"/>
  <c r="D2" i="5"/>
  <c r="D44" i="8" s="1"/>
  <c r="D19" i="8"/>
  <c r="A19" i="8"/>
  <c r="D18" i="3"/>
  <c r="D18" i="8" s="1"/>
  <c r="A18" i="8"/>
  <c r="D17" i="3"/>
  <c r="D17" i="8" s="1"/>
  <c r="A17" i="8"/>
  <c r="D16" i="3"/>
  <c r="D16" i="8" s="1"/>
  <c r="A16" i="8"/>
  <c r="D15" i="3"/>
  <c r="D15" i="8" s="1"/>
  <c r="A15" i="8"/>
  <c r="D14" i="3"/>
  <c r="D14" i="8" s="1"/>
  <c r="A14" i="8"/>
  <c r="D13" i="3"/>
  <c r="D13" i="8" s="1"/>
  <c r="A13" i="8"/>
  <c r="D12" i="3"/>
  <c r="D12" i="8" s="1"/>
  <c r="A12" i="8"/>
  <c r="D11" i="3"/>
  <c r="D11" i="8" s="1"/>
  <c r="A11" i="8"/>
  <c r="D10" i="3"/>
  <c r="D10" i="8" s="1"/>
  <c r="A10" i="8"/>
  <c r="D9" i="3"/>
  <c r="D9" i="8" s="1"/>
  <c r="A9" i="8"/>
  <c r="D8" i="3"/>
  <c r="D8" i="8" s="1"/>
  <c r="A8" i="8"/>
  <c r="D7" i="3"/>
  <c r="D7" i="8" s="1"/>
  <c r="A7" i="8"/>
  <c r="D6" i="3"/>
  <c r="D6" i="8" s="1"/>
  <c r="A6" i="8"/>
  <c r="D5" i="3"/>
  <c r="D5" i="8" s="1"/>
  <c r="A5" i="8"/>
  <c r="D4" i="3"/>
  <c r="D4" i="8" s="1"/>
  <c r="A4" i="8"/>
  <c r="D3" i="3"/>
  <c r="D3" i="8" s="1"/>
  <c r="A3" i="8"/>
  <c r="A38" i="8"/>
  <c r="D17" i="4"/>
  <c r="D38" i="8" s="1"/>
  <c r="A37" i="8"/>
  <c r="D16" i="4"/>
  <c r="D37" i="8" s="1"/>
  <c r="A36" i="8"/>
  <c r="D15" i="4"/>
  <c r="D36" i="8" s="1"/>
  <c r="A35" i="8"/>
  <c r="D14" i="4"/>
  <c r="D35" i="8" s="1"/>
  <c r="A34" i="8"/>
  <c r="D13" i="4"/>
  <c r="D34" i="8" s="1"/>
  <c r="A33" i="8"/>
  <c r="D12" i="4"/>
  <c r="D33" i="8" s="1"/>
  <c r="A32" i="8"/>
  <c r="D11" i="4"/>
  <c r="D32" i="8" s="1"/>
  <c r="A31" i="8"/>
  <c r="D10" i="4"/>
  <c r="D31" i="8" s="1"/>
  <c r="A30" i="8"/>
  <c r="D9" i="4"/>
  <c r="D30" i="8" s="1"/>
  <c r="A29" i="8"/>
  <c r="D8" i="4"/>
  <c r="D29" i="8" s="1"/>
  <c r="A28" i="8"/>
  <c r="D7" i="4"/>
  <c r="D28" i="8" s="1"/>
  <c r="A27" i="8"/>
  <c r="D6" i="4"/>
  <c r="D27" i="8" s="1"/>
  <c r="A26" i="8"/>
  <c r="D5" i="4"/>
  <c r="D26" i="8" s="1"/>
  <c r="A25" i="8"/>
  <c r="D4" i="4"/>
  <c r="D25" i="8" s="1"/>
  <c r="A24" i="8"/>
  <c r="D3" i="4"/>
  <c r="D24" i="8" s="1"/>
  <c r="A40" i="8"/>
  <c r="D19" i="4"/>
  <c r="D40" i="8" s="1"/>
  <c r="A39" i="8"/>
  <c r="D18" i="4"/>
  <c r="D39" i="8" s="1"/>
  <c r="A59" i="8"/>
  <c r="D17" i="5"/>
  <c r="D59" i="8" s="1"/>
  <c r="A58" i="8"/>
  <c r="D16" i="5"/>
  <c r="D58" i="8" s="1"/>
  <c r="A57" i="8"/>
  <c r="D15" i="5"/>
  <c r="D57" i="8" s="1"/>
  <c r="A56" i="8"/>
  <c r="D14" i="5"/>
  <c r="D56" i="8" s="1"/>
  <c r="A55" i="8"/>
  <c r="D13" i="5"/>
  <c r="D55" i="8" s="1"/>
  <c r="A54" i="8"/>
  <c r="D12" i="5"/>
  <c r="D54" i="8" s="1"/>
  <c r="A53" i="8"/>
  <c r="D11" i="5"/>
  <c r="D53" i="8" s="1"/>
  <c r="A52" i="8"/>
  <c r="D10" i="5"/>
  <c r="D52" i="8" s="1"/>
  <c r="A51" i="8"/>
  <c r="D9" i="5"/>
  <c r="D51" i="8" s="1"/>
  <c r="A50" i="8"/>
  <c r="D8" i="5"/>
  <c r="D50" i="8" s="1"/>
  <c r="A49" i="8"/>
  <c r="D7" i="5"/>
  <c r="D49" i="8" s="1"/>
  <c r="A48" i="8"/>
  <c r="D6" i="5"/>
  <c r="D48" i="8" s="1"/>
  <c r="A47" i="8"/>
  <c r="D5" i="5"/>
  <c r="D47" i="8" s="1"/>
  <c r="A46" i="8"/>
  <c r="D4" i="5"/>
  <c r="D46" i="8" s="1"/>
  <c r="A45" i="8"/>
  <c r="D3" i="5"/>
  <c r="D45" i="8" s="1"/>
  <c r="A61" i="8"/>
  <c r="D19" i="5"/>
  <c r="D61" i="8" s="1"/>
  <c r="A60" i="8"/>
  <c r="D18" i="5"/>
  <c r="D60" i="8" s="1"/>
</calcChain>
</file>

<file path=xl/sharedStrings.xml><?xml version="1.0" encoding="utf-8"?>
<sst xmlns="http://schemas.openxmlformats.org/spreadsheetml/2006/main" count="917" uniqueCount="263">
  <si>
    <t>Author:</t>
  </si>
  <si>
    <t>Linh Le</t>
  </si>
  <si>
    <t>Project:</t>
  </si>
  <si>
    <t xml:space="preserve">WEB CONDUIT –  REALWORLD </t>
  </si>
  <si>
    <t>Version:</t>
  </si>
  <si>
    <t>v1.0</t>
  </si>
  <si>
    <t>Version Date:</t>
  </si>
  <si>
    <t>Copyright:</t>
  </si>
  <si>
    <t>Mỗi version sẽ có 1 bộ test case , requirement matrix, các test cases chạy trong từng Sprint của version đó và thông tin chạy regression của version đó</t>
  </si>
  <si>
    <t>Sang version khác sẽ đóng file excel này lại và clone ra bản mới cho version tiếp theo</t>
  </si>
  <si>
    <t xml:space="preserve">PM có thể biết được ở mỗi sprint quyết định chạy những test cases nào, nếu release gấp ví dụ sau sprint 3 chưa chạy regression nhưng cần release gấp cho khách hàng -&gt; nếu xảy ra lỗi thì cũng trace back lại được là lỗi đó ở đâu, do thiếu test cases hay do không chạy test case trong sprint đó -&gt; nếu thiếu thì cập nhập nhưng nếu do không chọn chạy test case trong sprint đó thì độ coverage chưa cao, cần cải thiện khi quyết định chọn test cases nào sẽ chạy </t>
  </si>
  <si>
    <t>Thường kết thúc các sprint trong version thì sẽ chạy regression cho toàn bộ test case, kết quả Test Execution và Pass rate sẽ là 2 điều kiện để quyết đinh xem có release cho khách hàng không (xem sheet regression Testing)</t>
  </si>
  <si>
    <t>Legend</t>
  </si>
  <si>
    <t>ID</t>
  </si>
  <si>
    <t>Tên Yêu cầu (Requirement Name)</t>
  </si>
  <si>
    <t>Mô tả yêu cầu (Requirement Description)</t>
  </si>
  <si>
    <t>Loại Yêu cầu</t>
  </si>
  <si>
    <t>Nguồn tham chiếu</t>
  </si>
  <si>
    <t>Mức độ ưu tiên</t>
  </si>
  <si>
    <t>Rủi ro tiềm ẩn (Risks)</t>
  </si>
  <si>
    <t>Trạng thái</t>
  </si>
  <si>
    <t>Người chịu trách nhiệm</t>
  </si>
  <si>
    <t>Tiêu chí chấp thuận (Acceptance Criteria)</t>
  </si>
  <si>
    <t>Test Case ID</t>
  </si>
  <si>
    <t>REQ-01</t>
  </si>
  <si>
    <t>Đăng ký tài khoản</t>
  </si>
  <si>
    <t>Là một khách (Guest), tôi muốn đăng ký một tài khoản để có thể trở thành thành viên.</t>
  </si>
  <si>
    <t>Chức năng</t>
  </si>
  <si>
    <t>Business Rules</t>
  </si>
  <si>
    <t>Cao</t>
  </si>
  <si>
    <t>Bảo mật</t>
  </si>
  <si>
    <t>Hoàn thành</t>
  </si>
  <si>
    <t>Product Manager</t>
  </si>
  <si>
    <t>Tạo user mới trong DB và trả về Token</t>
  </si>
  <si>
    <t>TC01.1, TC01.2, TC01.3</t>
  </si>
  <si>
    <t>REQ-02</t>
  </si>
  <si>
    <t>Đăng nhập hệ thống</t>
  </si>
  <si>
    <t>Là một người dùng (User), tôi muốn đăng nhập bằng Email và Password để đăng nhập vào hệ thống</t>
  </si>
  <si>
    <t>Đăng nhập thành công và được điều hướng qua trang chủ 
Lưu Token để giữ session đăng nhập</t>
  </si>
  <si>
    <t>TC02.1, TC02.2, TC02.3</t>
  </si>
  <si>
    <t>REQ-03</t>
  </si>
  <si>
    <t>Tạo bài viết mới</t>
  </si>
  <si>
    <t>Là một tác giả, tôi muốn tạo và xuất bản một bài viết mới để chia sẻ kiến thức</t>
  </si>
  <si>
    <t>Logic luồng hiển thị</t>
  </si>
  <si>
    <t>Bài viết lưu DB, tự động index lên trang Global Feed, Your Feed, và trang My Articles trong User Profile</t>
  </si>
  <si>
    <t>TC03.1, TC03.2, TC03.3, TC03.4, TC03.5</t>
  </si>
  <si>
    <t>REQ-04</t>
  </si>
  <si>
    <t>Đọc bài viết</t>
  </si>
  <si>
    <t>Là một người dùng, tôi muốn đọc chi tiết một bài viết để tiếp thu thông tin.</t>
  </si>
  <si>
    <t>Trung bình</t>
  </si>
  <si>
    <t>Lỗi render nội dung Markdown (Gây vỡ Layout, tràn chữ trên Mobile, hoặc hiển thị sai định dạng HTML)</t>
  </si>
  <si>
    <t>Khi nhấn vào xem bài viết hoặc nhấn chữ View More, hệ thống sẽ điều hướng qua trang Xem chi tiết bài viết. 
Văn bản Markdown render chính xác</t>
  </si>
  <si>
    <t>TC04.1</t>
  </si>
  <si>
    <t>REQ-05</t>
  </si>
  <si>
    <t>Cập nhật bài viết</t>
  </si>
  <si>
    <t>Là một tác giả, tôi muốn chỉnh sửa bài viết của mình để cập nhật thông tin mới.</t>
  </si>
  <si>
    <t>Xung đột State</t>
  </si>
  <si>
    <t>Thời gian updated_at thay đổi, nội dung mới hiển thị trên các trang tương ứng</t>
  </si>
  <si>
    <t>TC05.1,TC05.2</t>
  </si>
  <si>
    <t>REQ-06</t>
  </si>
  <si>
    <t>Xóa bài viết</t>
  </si>
  <si>
    <t>Là một tác giả, tôi muốn xóa bài viết cũ của mình để nó không còn hiển thị.</t>
  </si>
  <si>
    <t>Lỗi Cache</t>
  </si>
  <si>
    <t xml:space="preserve">Bài viết bị xóa khỏi DB và trên các trang hiển thị bài viết
thông báo xóa Thành công với user 
</t>
  </si>
  <si>
    <t>TC06.1</t>
  </si>
  <si>
    <t>REQ-07</t>
  </si>
  <si>
    <t>Bình luận bài viết</t>
  </si>
  <si>
    <t>Là một người dùng, tôi muốn viết bình luận vào bài viết của người khác và chính bài viết của mình</t>
  </si>
  <si>
    <t>Không</t>
  </si>
  <si>
    <t>Người dùng có thể bình luận vào bài viết của chính mình và của người khác
Bình luận mới nhất sẽ trôi xuống cuối danh sách</t>
  </si>
  <si>
    <t>TC07.1, TC07.2</t>
  </si>
  <si>
    <t>REQ-08</t>
  </si>
  <si>
    <t>Yêu thích bài viết và theo dõi tác giả</t>
  </si>
  <si>
    <t>Là một người dùng, tôi muốn thả tim bài viết để khích lệ tác giả hoặc thả tym cho chính bài viết của mình</t>
  </si>
  <si>
    <t>Xung đột Component</t>
  </si>
  <si>
    <t>Trái tim chuyển đổi trạng thái lập tức (Sync)</t>
  </si>
  <si>
    <t>TC08.1</t>
  </si>
  <si>
    <t>REQ-09</t>
  </si>
  <si>
    <t>Theo dõi tác giả bài viết</t>
  </si>
  <si>
    <t>Là một người dùng, tôi muốn theo dõi tác giả mà tôi yêu thích để đọc nhiều bài viết hay từ họ</t>
  </si>
  <si>
    <t xml:space="preserve">Sau khi nhấn theo dõi, thì trang Your Feed chỉ hiển thị các bài viết của các tác giả đã theo dõi </t>
  </si>
  <si>
    <t>TC09.1</t>
  </si>
  <si>
    <t>REQ-10</t>
  </si>
  <si>
    <t>Xem Hồ sơ cá nhân</t>
  </si>
  <si>
    <t>Là một người dùng, tôi muốn xem trang Profile để theo dõi bài mình đã viết/thích.</t>
  </si>
  <si>
    <t xml:space="preserve">Tab Favorited lọc chính xác bài viết mình đã yêu thích, bài viết yêu thích gần nhất sẽ hiển thị lên đầu 
Tab My Articles lọc chính xác bài viết người dùng đã tạo, bài viết mới nhất sẽ hiển thị lên đầu </t>
  </si>
  <si>
    <t>TC10.1, TC10.2</t>
  </si>
  <si>
    <t>Scenario ID</t>
  </si>
  <si>
    <t>Scenario</t>
  </si>
  <si>
    <t>Test Case Name</t>
  </si>
  <si>
    <t>Test Case Description</t>
  </si>
  <si>
    <t>Expected Result</t>
  </si>
  <si>
    <t>Status</t>
  </si>
  <si>
    <t>Owner</t>
  </si>
  <si>
    <t>Approver(s)</t>
  </si>
  <si>
    <t>Comments</t>
  </si>
  <si>
    <t>Business Requirement(s)</t>
  </si>
  <si>
    <t>Module</t>
  </si>
  <si>
    <t>Priority</t>
  </si>
  <si>
    <t>Test type</t>
  </si>
  <si>
    <t>TS1</t>
  </si>
  <si>
    <t>Đăng ký</t>
  </si>
  <si>
    <t>TC01.1</t>
  </si>
  <si>
    <t>Đăng ký hợp lệ</t>
  </si>
  <si>
    <t>B1: Điền đúng email hợp lệ 
B2: Điền đúng password theo yêu cầu 
B3: Điền Tên của người dùng 
B4: Nhấn nút đăng ký</t>
  </si>
  <si>
    <t>Đăng ký thành công kèm thông báo</t>
  </si>
  <si>
    <t>Approved</t>
  </si>
  <si>
    <t>QA Manager</t>
  </si>
  <si>
    <t>Automated</t>
  </si>
  <si>
    <t>Auth</t>
  </si>
  <si>
    <t>High</t>
  </si>
  <si>
    <t>Functional Testing</t>
  </si>
  <si>
    <t>TC01.2</t>
  </si>
  <si>
    <t>Đăng ký email trùng với user đã tồn tại trong hệ thống</t>
  </si>
  <si>
    <t>B1: Tạo sẵn 1 user với email trong hệ thống 
B2: Đăng ký thêm với cùng email đó 
B3: Nhấn nút đăng ký</t>
  </si>
  <si>
    <t>Hệ thống báo lỗi email đã được sử dụng</t>
  </si>
  <si>
    <t>Manual</t>
  </si>
  <si>
    <t>TC01.3</t>
  </si>
  <si>
    <t>Đăng ký bỏ trống trường email hoặc trường password</t>
  </si>
  <si>
    <t>B1: Điền Tên người dùng 
B2: bỏ trống email hoặc password
B3: nhấn nút đăng ký</t>
  </si>
  <si>
    <t>Hệ thống báo lỗi cần nhập email/password</t>
  </si>
  <si>
    <t>TS2</t>
  </si>
  <si>
    <t>Đăng nhập</t>
  </si>
  <si>
    <t>TC02.1</t>
  </si>
  <si>
    <t>Đăng nhập hợp lệ</t>
  </si>
  <si>
    <t>B1: Điền thông tin email
B2: Điền thông tin password 
B3: Nhấn nút đăng nhập</t>
  </si>
  <si>
    <t>Hệ thống thông báo đăng nhập thành công và điều hướng đến trang chủ</t>
  </si>
  <si>
    <t>TC02.2</t>
  </si>
  <si>
    <t>Đăng nhập sai pass</t>
  </si>
  <si>
    <t>B1: Điền thông tin email
B2: Điền thông tin password sai
B3: Nhấn nút đăng nhập</t>
  </si>
  <si>
    <t>Hệ thống báo lỗi mật khẩu không đúng</t>
  </si>
  <si>
    <t>TC02.3</t>
  </si>
  <si>
    <t>Đăng nhập sai email</t>
  </si>
  <si>
    <t>B1: Điền thông tin email sai
B2: Điền thông tin password đúng
B3: Nhấn nút đăng nhập</t>
  </si>
  <si>
    <t>Hệ thống báo lỗi email không đúng</t>
  </si>
  <si>
    <t>TS3</t>
  </si>
  <si>
    <t>Tạo bài viết</t>
  </si>
  <si>
    <t>TC03.1</t>
  </si>
  <si>
    <t>Kiểm tra UI form tạo bài viết có đủ các trường thông tin</t>
  </si>
  <si>
    <t>B1: Nhấn nút New Article 
B2: Xác nhận đủ các field (Title, About, Body, Tags)</t>
  </si>
  <si>
    <t>Có đủ các field (Title, About, Body, Tags)</t>
  </si>
  <si>
    <t>Article</t>
  </si>
  <si>
    <t>TC03.2</t>
  </si>
  <si>
    <t>Kiểm tra khi nhấn nút publish article nhưng bỏ trống các trường bắt buộc</t>
  </si>
  <si>
    <t>B1: Nhấn nút New Article 
B2: bỏ trống 1 trong các fields (Title, About, Body)
B3: nhấn nút publish article</t>
  </si>
  <si>
    <t>Hệ thống báo lỗi cần điền các fields (Title, About, Body)</t>
  </si>
  <si>
    <t>TC03.3</t>
  </si>
  <si>
    <t>Kiểm tra tạo bài viết với Title đã tồn tại</t>
  </si>
  <si>
    <t xml:space="preserve">B1: Nhấn nút New Article 
B2: điền đủ các fields (Title, About, Body, Tags)
B3: nhấn nút publish article
B4: Nhấn nút New Article 
B5: điền đủ các fields  (Title, About, Body, Tags) nhưng với title name trùng với B2
B6: nhấn nút publish article
</t>
  </si>
  <si>
    <t xml:space="preserve">Hệ thống cho phép tạo thành công bình thường </t>
  </si>
  <si>
    <t>TC03.4</t>
  </si>
  <si>
    <t>Kiểm tra số lượng ký tự giới hạn trong các fields</t>
  </si>
  <si>
    <t>Boundary testing</t>
  </si>
  <si>
    <t>Giới hạn text</t>
  </si>
  <si>
    <t>TC03.5</t>
  </si>
  <si>
    <t>Kiểm tra bài viết hiển thị trên Global Feed,  My Article trong User Profile sau khi tạo</t>
  </si>
  <si>
    <t>B1: tạo bài viết
B2: truy cập các trang Global Feed, My Article trong User Profile và kiểm tra bài viết</t>
  </si>
  <si>
    <t xml:space="preserve">Bài viết mới tạo hiện thị trên đầu ở các trang Global Feed, My Article trong User Profile </t>
  </si>
  <si>
    <t>TS4</t>
  </si>
  <si>
    <t>Đọc chi tiết bài viết</t>
  </si>
  <si>
    <t xml:space="preserve">B1: Nhấn vào tiêu đề bài viết hoặc nhấn vào nút View more
B2: Kiểm tra điều hướng của hệ thống và nội dung văn bản khi xem </t>
  </si>
  <si>
    <t>Hệ thống điều hướng qua trang xem chi tiết bài viết 
Văn bản được render ngay ngăn, không bị tràn hay vỡ layout</t>
  </si>
  <si>
    <t>TS5</t>
  </si>
  <si>
    <t>Sửa bài viết</t>
  </si>
  <si>
    <t>TC05.1</t>
  </si>
  <si>
    <t>B1: Truy câp trang chi tiết bài viết của 1 bài 
B2: nhấn nút edit article
B3: chỉnh sửa nội dung cần thiết
B4: nhấn nút update article</t>
  </si>
  <si>
    <t xml:space="preserve">Nội dung bài viết được cập nhập tương ứng, và nội dung được cập nhập được hiển thị đồng bộ trên các trang Global Feed,  My Article trong User Profile </t>
  </si>
  <si>
    <t>TC05.2</t>
  </si>
  <si>
    <t>Kiểm tra khi sửa bài viết cố ý bỏ trống các trường thông tin bắt buộc</t>
  </si>
  <si>
    <t>B1: Truy câp trang chi tiết bài viết của 1 bài 
B2: nhấn nút edit article
B3: xóa 1 vài trường thông tin bắt buộc
B4: nhấn nút update article</t>
  </si>
  <si>
    <t>Hệ thống báo lỗi cần nhập các trường thông tin bắt buộc</t>
  </si>
  <si>
    <t>TS6</t>
  </si>
  <si>
    <t>Xóa bài viết thành công</t>
  </si>
  <si>
    <t xml:space="preserve">B1: Truy câp trang chi tiết bài viết của 1 bài 
B2: nhấn nút delete article
B3: nhấn nút xác nhận khi hệ thống hiển thị pop-up xác nhận xóa </t>
  </si>
  <si>
    <t xml:space="preserve">Bài viết bị xóa khỏi UI và DB và không hiển thị bài viết này ở các trang tương ứng Global Feed,  My Article trong User Profile </t>
  </si>
  <si>
    <t>TS7</t>
  </si>
  <si>
    <t>Bình luận</t>
  </si>
  <si>
    <t>TC07.1</t>
  </si>
  <si>
    <t>Thêm bình luận mới thành công</t>
  </si>
  <si>
    <t>B1: Truy câp trang chi tiết bài viết của 1 bài 
B2: nhập bình luận và nhấn nút Post comment 
B3: kiểm tra bình luận hiển thị trong bài viết</t>
  </si>
  <si>
    <t xml:space="preserve">Bình luận hiển thị trong bài viết kèm tên người bình luận và thời gian bình luận
Bình luận mới sẽ hiển thị lên đầu </t>
  </si>
  <si>
    <t>Social</t>
  </si>
  <si>
    <t>TC07.2</t>
  </si>
  <si>
    <t>Xóa bình luận</t>
  </si>
  <si>
    <t>B1: Truy câp trang chi tiết bài viết của 1 bài viết với điều kiện bài viết đó đã có nhiều bình luận từ chính mình và từ người khác 
B2: kiểm tra nút xóa ở cạnh mỗi bình luận 
B3: kiểm tra sau khi nhấn nút xóa</t>
  </si>
  <si>
    <t>nút xóa chỉ hiển thị cạnh bình luận của chính mình 
khi nhấn nút xóa thì bình luận biến mất</t>
  </si>
  <si>
    <t>TS8</t>
  </si>
  <si>
    <t>Danh sách Yêu thích</t>
  </si>
  <si>
    <t>Thả tim và bỏ thả tym bài viết</t>
  </si>
  <si>
    <t>B1: Thả tym và bài viết bất kì ở trang Global Feed 
B2: Kiểm tra bài viết này ở các trang còn lại xem biểu tượng tym có hiển thị đã tick tương ứng không 
B3: bỏ thả tym cho bài viết 
B4: Kiểm tra bài viết này ở các trang còn lại xem biểu tượng tym có bị untick tương ứng không</t>
  </si>
  <si>
    <t>Khi thả tym, biểu tượng tym sáng màu xanh lá cây, còn khi bỏ thay tym thì biểu tượng tym hiển thị màu trắng</t>
  </si>
  <si>
    <t>TS9</t>
  </si>
  <si>
    <t>Theo dõi tác giả yêu thích</t>
  </si>
  <si>
    <t xml:space="preserve">Theo dõi tác giả có bài viết hay </t>
  </si>
  <si>
    <t xml:space="preserve">B1: xem chi tiết bài viết của 1 tác giả bất kì 
B2: nhấn nút theo dõi tác giả 
B3: Kiểm tra trạng thái nút và trang Your Feed </t>
  </si>
  <si>
    <t>Nút chuyển qua trạng thái đã follow và trang Your Feed chỉ hiển thị các bài viết của tác giả vừa theo dõi</t>
  </si>
  <si>
    <t>TS10</t>
  </si>
  <si>
    <t>Hồ sơ cá nhân</t>
  </si>
  <si>
    <t>TC10.1</t>
  </si>
  <si>
    <t>Kiểm tra tab My Articles</t>
  </si>
  <si>
    <t>B1: Truy cập trang User profile 
B2: kiểm tra tab My Articles</t>
  </si>
  <si>
    <t>Chỉ hiển thị bài viết của chính mình, bài mới nhất sẽ hiển thị lên đầu</t>
  </si>
  <si>
    <t>Profile</t>
  </si>
  <si>
    <t>TC10.2</t>
  </si>
  <si>
    <t>Kiểm tra tab Favorited Articles</t>
  </si>
  <si>
    <t>B1: Truy cập trang User profile 
B2: kiểm tra tab Favorited Articles</t>
  </si>
  <si>
    <t>hiển thị bài viết mà mình đã thả tym, bài mới nhất sẽ hiển thị lên đầu</t>
  </si>
  <si>
    <t>Insert lines above here only</t>
  </si>
  <si>
    <t>Warning: Be careful adding/removing rows in the following section - these values are used for data validation</t>
  </si>
  <si>
    <t>Test Case Status</t>
  </si>
  <si>
    <t>Test Type</t>
  </si>
  <si>
    <t>Not Started</t>
  </si>
  <si>
    <t>In Progress</t>
  </si>
  <si>
    <t>Integration Testing</t>
  </si>
  <si>
    <t>Draft</t>
  </si>
  <si>
    <t>UI Testing</t>
  </si>
  <si>
    <t>Pending Approval</t>
  </si>
  <si>
    <t>Performance Testing</t>
  </si>
  <si>
    <t>Security Testing</t>
  </si>
  <si>
    <t>Current Sprint</t>
  </si>
  <si>
    <t>Test Case Owner</t>
  </si>
  <si>
    <t>Medium</t>
  </si>
  <si>
    <t>Low</t>
  </si>
  <si>
    <t>Include in Test Iteration:</t>
  </si>
  <si>
    <t>Sprint 1 (Auth)</t>
  </si>
  <si>
    <t>Sprint 2 (Article)</t>
  </si>
  <si>
    <t>Sprint 3 (Social&amp;Profile)</t>
  </si>
  <si>
    <t>Planned Lead Tester</t>
  </si>
  <si>
    <t>Yes</t>
  </si>
  <si>
    <t>No</t>
  </si>
  <si>
    <t>Insert Lines Above Here Only</t>
  </si>
  <si>
    <t>Include in Test Iteration</t>
  </si>
  <si>
    <t>Pending</t>
  </si>
  <si>
    <t>Planned Tester</t>
  </si>
  <si>
    <t>Tester 2</t>
  </si>
  <si>
    <t>In This Test Iteration?</t>
  </si>
  <si>
    <t>Tester</t>
  </si>
  <si>
    <t>Defects Identified</t>
  </si>
  <si>
    <t>Blocking Defect ID(s)</t>
  </si>
  <si>
    <t>Run - Passed</t>
  </si>
  <si>
    <t>Blocked</t>
  </si>
  <si>
    <t>Insert Rows Only Above Here</t>
  </si>
  <si>
    <t>Test Iteration Name</t>
  </si>
  <si>
    <t>N/A</t>
  </si>
  <si>
    <t>Not Run</t>
  </si>
  <si>
    <t>Run - Failed</t>
  </si>
  <si>
    <t>Blocking Defect ID</t>
  </si>
  <si>
    <t>Iteration</t>
  </si>
  <si>
    <t>In This Iteration?</t>
  </si>
  <si>
    <t>Module Status by Iteration</t>
  </si>
  <si>
    <t>Status by Iteration</t>
  </si>
  <si>
    <t>(All)</t>
  </si>
  <si>
    <t>Count of Test Case ID</t>
  </si>
  <si>
    <t>(blank)</t>
  </si>
  <si>
    <t>Grand Total</t>
  </si>
  <si>
    <t>Test Case Status by Iteration</t>
  </si>
  <si>
    <t>Test Type Status by Iteration</t>
  </si>
  <si>
    <t>Passed</t>
  </si>
  <si>
    <t>Failed</t>
  </si>
  <si>
    <t>Column1</t>
  </si>
  <si>
    <t>Column2</t>
  </si>
  <si>
    <t>Test Execution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</si>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</sst>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ont>
    <font>
      <b/>
      <sz val="10"/>
      <name val="Arial"/>
      <family val="2"/>
    </font>
    <font>
      <sz val="8"/>
      <name val="Arial"/>
    </font>
    <font>
      <b/>
      <sz val="10"/>
      <color indexed="9"/>
      <name val="Arial"/>
    </font>
    <font>
      <sz val="10"/>
      <color indexed="9"/>
      <name val="Arial"/>
    </font>
    <font>
      <b/>
      <sz val="10"/>
      <color indexed="9"/>
      <name val="Arial"/>
      <family val="2"/>
    </font>
    <font>
      <b/>
      <sz val="12"/>
      <name val="Arial"/>
      <family val="2"/>
    </font>
    <font>
      <u/>
      <sz val="10"/>
      <color indexed="12"/>
      <name val="Arial"/>
    </font>
    <font>
      <sz val="9"/>
      <name val="Arial"/>
    </font>
  </fonts>
  <fills count="4">
    <fill>
      <patternFill patternType="none"/>
    </fill>
    <fill>
      <patternFill patternType="gray125"/>
    </fill>
    <fill>
      <patternFill patternType="solid">
        <fgColor indexed="63"/>
        <bgColor indexed="64"/>
      </patternFill>
    </fill>
    <fill>
      <patternFill patternType="solid">
        <fgColor indexed="1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53">
    <xf numFmtId="0" fontId="0" fillId="0" borderId="0" xfId="0"/>
    <xf numFmtId="0" fontId="1" fillId="0" borderId="0" xfId="0" applyFont="1" applyAlignment="1">
      <alignment horizontal="center" wrapText="1"/>
    </xf>
    <xf numFmtId="0" fontId="3" fillId="2" borderId="0" xfId="0" applyFont="1" applyFill="1"/>
    <xf numFmtId="0" fontId="3" fillId="2" borderId="0" xfId="0" applyFont="1" applyFill="1" applyAlignment="1"/>
    <xf numFmtId="0" fontId="0" fillId="0" borderId="2" xfId="0" applyBorder="1" applyAlignment="1">
      <alignment vertical="top" wrapText="1"/>
    </xf>
    <xf numFmtId="0" fontId="0" fillId="0" borderId="3" xfId="0" applyBorder="1" applyAlignment="1">
      <alignment vertical="top" wrapText="1"/>
    </xf>
    <xf numFmtId="0" fontId="1" fillId="0" borderId="4" xfId="0" applyFont="1" applyBorder="1" applyAlignment="1">
      <alignment horizontal="center" wrapText="1"/>
    </xf>
    <xf numFmtId="0" fontId="4" fillId="2" borderId="0" xfId="0" applyFont="1" applyFill="1"/>
    <xf numFmtId="0" fontId="5" fillId="2" borderId="0" xfId="0" applyFont="1" applyFill="1"/>
    <xf numFmtId="0" fontId="0" fillId="0" borderId="0" xfId="0" applyAlignment="1">
      <alignment wrapText="1"/>
    </xf>
    <xf numFmtId="14" fontId="0" fillId="0" borderId="0" xfId="0" applyNumberFormat="1" applyAlignment="1">
      <alignment horizontal="right" wrapText="1"/>
    </xf>
    <xf numFmtId="0" fontId="1"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11" xfId="0" applyFont="1" applyBorder="1"/>
    <xf numFmtId="0" fontId="0" fillId="0" borderId="12" xfId="0" applyBorder="1"/>
    <xf numFmtId="0" fontId="0" fillId="0" borderId="13" xfId="0" applyBorder="1"/>
    <xf numFmtId="0" fontId="1" fillId="0" borderId="0" xfId="0" applyFont="1"/>
    <xf numFmtId="0" fontId="0" fillId="0" borderId="2" xfId="0" applyBorder="1" applyAlignment="1">
      <alignment horizontal="right" vertical="top" wrapText="1"/>
    </xf>
    <xf numFmtId="0" fontId="0" fillId="0" borderId="3" xfId="0" applyBorder="1" applyAlignment="1">
      <alignment horizontal="right" vertical="top" wrapText="1"/>
    </xf>
    <xf numFmtId="0" fontId="0" fillId="0" borderId="0" xfId="0" applyNumberFormat="1"/>
    <xf numFmtId="0" fontId="6" fillId="0" borderId="0" xfId="0" applyFont="1"/>
    <xf numFmtId="0" fontId="7" fillId="0" borderId="0" xfId="1" applyAlignment="1" applyProtection="1"/>
    <xf numFmtId="14" fontId="0" fillId="0" borderId="0" xfId="0" applyNumberFormat="1"/>
    <xf numFmtId="0" fontId="0" fillId="0" borderId="0" xfId="0" quotePrefix="1"/>
    <xf numFmtId="0" fontId="1" fillId="0" borderId="14" xfId="0" applyFont="1" applyBorder="1"/>
    <xf numFmtId="0" fontId="0" fillId="0" borderId="15" xfId="0" applyBorder="1"/>
    <xf numFmtId="0" fontId="0" fillId="0" borderId="16" xfId="0" applyBorder="1"/>
    <xf numFmtId="0" fontId="8" fillId="0" borderId="17" xfId="0" applyFont="1" applyBorder="1"/>
    <xf numFmtId="0" fontId="8" fillId="0" borderId="0" xfId="0" applyFont="1" applyBorder="1"/>
    <xf numFmtId="0" fontId="0" fillId="0" borderId="18" xfId="0" applyBorder="1"/>
    <xf numFmtId="0" fontId="8" fillId="0" borderId="19" xfId="0" applyFont="1" applyBorder="1"/>
    <xf numFmtId="0" fontId="8" fillId="0" borderId="20" xfId="0" applyFont="1" applyBorder="1"/>
    <xf numFmtId="0" fontId="0" fillId="0" borderId="21" xfId="0" applyBorder="1"/>
    <xf numFmtId="0" fontId="1" fillId="0" borderId="0" xfId="0" applyFont="1" applyBorder="1" applyAlignment="1">
      <alignment horizontal="center" wrapText="1"/>
    </xf>
    <xf numFmtId="0" fontId="0" fillId="0" borderId="0" xfId="0" applyBorder="1" applyAlignment="1">
      <alignment vertical="top" wrapText="1"/>
    </xf>
    <xf numFmtId="0" fontId="1" fillId="0" borderId="22" xfId="0" applyFont="1" applyBorder="1"/>
    <xf numFmtId="0" fontId="0" fillId="0" borderId="23" xfId="0" applyBorder="1"/>
    <xf numFmtId="0" fontId="0" fillId="0" borderId="24" xfId="0" applyBorder="1"/>
    <xf numFmtId="0" fontId="0" fillId="0" borderId="0" xfId="0" applyBorder="1" applyAlignment="1">
      <alignment horizontal="right" vertical="top" wrapText="1"/>
    </xf>
    <xf numFmtId="0" fontId="0" fillId="0" borderId="9" xfId="0" applyBorder="1" applyAlignment="1">
      <alignment wrapText="1"/>
    </xf>
    <xf numFmtId="0" fontId="0" fillId="0" borderId="0" xfId="0" pivotButton="1"/>
    <xf numFmtId="0" fontId="1" fillId="0" borderId="1" xfId="0" applyFont="1" applyBorder="1" applyAlignment="1">
      <alignment horizontal="center" wrapText="1"/>
    </xf>
    <xf numFmtId="0" fontId="1" fillId="0" borderId="13" xfId="0" applyFont="1" applyBorder="1" applyAlignment="1">
      <alignment horizontal="center" wrapText="1"/>
    </xf>
    <xf numFmtId="0" fontId="0" fillId="0" borderId="25" xfId="0" applyBorder="1" applyAlignment="1">
      <alignment vertical="top" wrapText="1"/>
    </xf>
    <xf numFmtId="0" fontId="0" fillId="0" borderId="26" xfId="0" applyBorder="1" applyAlignment="1">
      <alignment vertical="top" wrapText="1"/>
    </xf>
    <xf numFmtId="0" fontId="0" fillId="0" borderId="0" xfId="0" applyBorder="1"/>
    <xf numFmtId="0" fontId="4" fillId="3" borderId="0" xfId="0" applyFont="1" applyFill="1" applyAlignment="1">
      <alignment horizontal="left" wrapText="1"/>
    </xf>
    <xf numFmtId="0" fontId="1" fillId="0" borderId="1" xfId="0" applyFont="1" applyBorder="1" applyAlignment="1">
      <alignment horizontal="center" wrapText="1"/>
    </xf>
    <xf numFmtId="0" fontId="0" fillId="0" borderId="22" xfId="0" applyBorder="1"/>
  </cellXfs>
  <cellStyles count="2">
    <cellStyle name="Hyperlink" xfId="1" builtinId="8"/>
    <cellStyle name="Normal" xfId="0" builtinId="0"/>
  </cellStyles>
  <dxfs count="18">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indexed="64"/>
        </bottom>
      </border>
    </dxf>
    <dxf>
      <border outline="0">
        <top style="thin">
          <color indexed="64"/>
        </top>
        <bottom style="hair">
          <color indexed="64"/>
        </bottom>
      </border>
    </dxf>
    <dxf>
      <font>
        <b/>
        <i val="0"/>
        <strike val="0"/>
        <condense val="0"/>
        <extend val="0"/>
        <outline val="0"/>
        <shadow val="0"/>
        <u val="none"/>
        <vertAlign val="baseline"/>
        <sz val="10"/>
        <color auto="1"/>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case and test report v1.xlsx]Pivot!PivotTable8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 Case ID' by 'Status' and 'Iteration'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Pivot!$B$7:$B$8</c:f>
              <c:strCache>
                <c:ptCount val="1"/>
                <c:pt idx="0">
                  <c:v>Sprint 1 (Auth)</c:v>
                </c:pt>
              </c:strCache>
            </c:strRef>
          </c:tx>
          <c:spPr>
            <a:solidFill>
              <a:schemeClr val="accent1"/>
            </a:solidFill>
            <a:ln>
              <a:noFill/>
            </a:ln>
            <a:effectLst/>
          </c:spPr>
          <c:invertIfNegative val="0"/>
          <c:cat>
            <c:strRef>
              <c:f>Pivot!$A$9:$A$14</c:f>
              <c:strCache>
                <c:ptCount val="5"/>
                <c:pt idx="0">
                  <c:v>Blocked</c:v>
                </c:pt>
                <c:pt idx="1">
                  <c:v>Not Run</c:v>
                </c:pt>
                <c:pt idx="2">
                  <c:v>Run - Passed</c:v>
                </c:pt>
                <c:pt idx="3">
                  <c:v>Run - Failed</c:v>
                </c:pt>
                <c:pt idx="4">
                  <c:v>(blank)</c:v>
                </c:pt>
              </c:strCache>
            </c:strRef>
          </c:cat>
          <c:val>
            <c:numRef>
              <c:f>Pivot!$B$9:$B$14</c:f>
              <c:numCache>
                <c:formatCode>General</c:formatCode>
                <c:ptCount val="5"/>
                <c:pt idx="0">
                  <c:v>15</c:v>
                </c:pt>
                <c:pt idx="2">
                  <c:v>6</c:v>
                </c:pt>
              </c:numCache>
            </c:numRef>
          </c:val>
          <c:extLst>
            <c:ext xmlns:c16="http://schemas.microsoft.com/office/drawing/2014/chart" uri="{C3380CC4-5D6E-409C-BE32-E72D297353CC}">
              <c16:uniqueId val="{00000000-D299-4792-82F0-02599426EC62}"/>
            </c:ext>
          </c:extLst>
        </c:ser>
        <c:ser>
          <c:idx val="1"/>
          <c:order val="1"/>
          <c:tx>
            <c:strRef>
              <c:f>Pivot!$C$7:$C$8</c:f>
              <c:strCache>
                <c:ptCount val="1"/>
                <c:pt idx="0">
                  <c:v>Sprint 2 (Article)</c:v>
                </c:pt>
              </c:strCache>
            </c:strRef>
          </c:tx>
          <c:spPr>
            <a:solidFill>
              <a:schemeClr val="accent2"/>
            </a:solidFill>
            <a:ln>
              <a:noFill/>
            </a:ln>
            <a:effectLst/>
          </c:spPr>
          <c:invertIfNegative val="0"/>
          <c:cat>
            <c:strRef>
              <c:f>Pivot!$A$9:$A$14</c:f>
              <c:strCache>
                <c:ptCount val="5"/>
                <c:pt idx="0">
                  <c:v>Blocked</c:v>
                </c:pt>
                <c:pt idx="1">
                  <c:v>Not Run</c:v>
                </c:pt>
                <c:pt idx="2">
                  <c:v>Run - Passed</c:v>
                </c:pt>
                <c:pt idx="3">
                  <c:v>Run - Failed</c:v>
                </c:pt>
                <c:pt idx="4">
                  <c:v>(blank)</c:v>
                </c:pt>
              </c:strCache>
            </c:strRef>
          </c:cat>
          <c:val>
            <c:numRef>
              <c:f>Pivot!$C$9:$C$14</c:f>
              <c:numCache>
                <c:formatCode>General</c:formatCode>
                <c:ptCount val="5"/>
                <c:pt idx="0">
                  <c:v>6</c:v>
                </c:pt>
                <c:pt idx="1">
                  <c:v>3</c:v>
                </c:pt>
                <c:pt idx="2">
                  <c:v>11</c:v>
                </c:pt>
                <c:pt idx="3">
                  <c:v>1</c:v>
                </c:pt>
              </c:numCache>
            </c:numRef>
          </c:val>
          <c:extLst>
            <c:ext xmlns:c16="http://schemas.microsoft.com/office/drawing/2014/chart" uri="{C3380CC4-5D6E-409C-BE32-E72D297353CC}">
              <c16:uniqueId val="{00000001-D299-4792-82F0-02599426EC62}"/>
            </c:ext>
          </c:extLst>
        </c:ser>
        <c:ser>
          <c:idx val="2"/>
          <c:order val="2"/>
          <c:tx>
            <c:strRef>
              <c:f>Pivot!$D$7:$D$8</c:f>
              <c:strCache>
                <c:ptCount val="1"/>
                <c:pt idx="0">
                  <c:v>Sprint 3 (Social&amp;Profile)</c:v>
                </c:pt>
              </c:strCache>
            </c:strRef>
          </c:tx>
          <c:spPr>
            <a:solidFill>
              <a:schemeClr val="accent3"/>
            </a:solidFill>
            <a:ln>
              <a:noFill/>
            </a:ln>
            <a:effectLst/>
          </c:spPr>
          <c:invertIfNegative val="0"/>
          <c:cat>
            <c:strRef>
              <c:f>Pivot!$A$9:$A$14</c:f>
              <c:strCache>
                <c:ptCount val="5"/>
                <c:pt idx="0">
                  <c:v>Blocked</c:v>
                </c:pt>
                <c:pt idx="1">
                  <c:v>Not Run</c:v>
                </c:pt>
                <c:pt idx="2">
                  <c:v>Run - Passed</c:v>
                </c:pt>
                <c:pt idx="3">
                  <c:v>Run - Failed</c:v>
                </c:pt>
                <c:pt idx="4">
                  <c:v>(blank)</c:v>
                </c:pt>
              </c:strCache>
            </c:strRef>
          </c:cat>
          <c:val>
            <c:numRef>
              <c:f>Pivot!$D$9:$D$14</c:f>
              <c:numCache>
                <c:formatCode>General</c:formatCode>
                <c:ptCount val="5"/>
                <c:pt idx="1">
                  <c:v>4</c:v>
                </c:pt>
                <c:pt idx="2">
                  <c:v>16</c:v>
                </c:pt>
                <c:pt idx="3">
                  <c:v>1</c:v>
                </c:pt>
              </c:numCache>
            </c:numRef>
          </c:val>
          <c:extLst>
            <c:ext xmlns:c16="http://schemas.microsoft.com/office/drawing/2014/chart" uri="{C3380CC4-5D6E-409C-BE32-E72D297353CC}">
              <c16:uniqueId val="{00000002-D299-4792-82F0-02599426EC62}"/>
            </c:ext>
          </c:extLst>
        </c:ser>
        <c:ser>
          <c:idx val="3"/>
          <c:order val="3"/>
          <c:tx>
            <c:strRef>
              <c:f>Pivot!$E$7:$E$8</c:f>
              <c:strCache>
                <c:ptCount val="1"/>
                <c:pt idx="0">
                  <c:v>(blank)</c:v>
                </c:pt>
              </c:strCache>
            </c:strRef>
          </c:tx>
          <c:spPr>
            <a:solidFill>
              <a:schemeClr val="accent4"/>
            </a:solidFill>
            <a:ln>
              <a:noFill/>
            </a:ln>
            <a:effectLst/>
          </c:spPr>
          <c:invertIfNegative val="0"/>
          <c:cat>
            <c:strRef>
              <c:f>Pivot!$A$9:$A$14</c:f>
              <c:strCache>
                <c:ptCount val="5"/>
                <c:pt idx="0">
                  <c:v>Blocked</c:v>
                </c:pt>
                <c:pt idx="1">
                  <c:v>Not Run</c:v>
                </c:pt>
                <c:pt idx="2">
                  <c:v>Run - Passed</c:v>
                </c:pt>
                <c:pt idx="3">
                  <c:v>Run - Failed</c:v>
                </c:pt>
                <c:pt idx="4">
                  <c:v>(blank)</c:v>
                </c:pt>
              </c:strCache>
            </c:strRef>
          </c:cat>
          <c:val>
            <c:numRef>
              <c:f>Pivot!$E$9:$E$14</c:f>
              <c:numCache>
                <c:formatCode>General</c:formatCode>
                <c:ptCount val="5"/>
              </c:numCache>
            </c:numRef>
          </c:val>
          <c:extLst>
            <c:ext xmlns:c16="http://schemas.microsoft.com/office/drawing/2014/chart" uri="{C3380CC4-5D6E-409C-BE32-E72D297353CC}">
              <c16:uniqueId val="{00000003-D299-4792-82F0-02599426EC62}"/>
            </c:ext>
          </c:extLst>
        </c:ser>
        <c:dLbls>
          <c:showLegendKey val="0"/>
          <c:showVal val="0"/>
          <c:showCatName val="0"/>
          <c:showSerName val="0"/>
          <c:showPercent val="0"/>
          <c:showBubbleSize val="0"/>
        </c:dLbls>
        <c:gapWidth val="200"/>
        <c:overlap val="-30"/>
        <c:axId val="834060296"/>
        <c:axId val="834062344"/>
      </c:barChart>
      <c:catAx>
        <c:axId val="834060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062344"/>
        <c:crosses val="autoZero"/>
        <c:auto val="1"/>
        <c:lblAlgn val="ctr"/>
        <c:lblOffset val="100"/>
        <c:noMultiLvlLbl val="0"/>
      </c:catAx>
      <c:valAx>
        <c:axId val="834062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Test Case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060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104775</xdr:colOff>
      <xdr:row>8</xdr:row>
      <xdr:rowOff>152400</xdr:rowOff>
    </xdr:from>
    <xdr:to>
      <xdr:col>13</xdr:col>
      <xdr:colOff>161925</xdr:colOff>
      <xdr:row>32</xdr:row>
      <xdr:rowOff>19050</xdr:rowOff>
    </xdr:to>
    <xdr:graphicFrame macro="">
      <xdr:nvGraphicFramePr>
        <xdr:cNvPr id="2" name="Chart 1" descr="Chart type: Clustered Column. 'Test Case ID' by 'Status' and 'Iteration'&#10;&#10;Description automatically generated">
          <a:extLst>
            <a:ext uri="{FF2B5EF4-FFF2-40B4-BE49-F238E27FC236}">
              <a16:creationId xmlns:a16="http://schemas.microsoft.com/office/drawing/2014/main" id="{CBA80777-39F5-8D7D-D579-5A83A8AD4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print%2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int "/>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4.88431238426" createdVersion="8" refreshedVersion="8" minRefreshableVersion="3" recordCount="192" xr:uid="{07650132-9716-48B9-B8D3-73630B5DD490}">
  <cacheSource type="worksheet">
    <worksheetSource ref="A1:I193" sheet="Stats"/>
  </cacheSource>
  <cacheFields count="9">
    <cacheField name="Test Case ID" numFmtId="0">
      <sharedItems containsBlank="1" count="59">
        <s v="TC01.1"/>
        <s v="TC01.2"/>
        <s v="TC01.3"/>
        <s v="TC02.1"/>
        <s v="TC02.2"/>
        <s v="TC02.3"/>
        <s v="TC03.1"/>
        <s v="TC03.2"/>
        <s v="TC03.3"/>
        <s v="TC03.4"/>
        <s v="TC03.5"/>
        <s v="TC04.1"/>
        <s v="TC05.1"/>
        <s v="TC05.2"/>
        <s v="TC06.1"/>
        <s v="TC07.1"/>
        <s v="TC07.2"/>
        <s v="TC08.1"/>
        <s v="TC09.1"/>
        <s v="TC10.1"/>
        <s v="TC10.2"/>
        <m/>
        <s v="TC09.2" u="1"/>
        <s v="TC1.1" u="1"/>
        <s v="TC1.2" u="1"/>
        <s v="TC1.3" u="1"/>
        <s v="TC2.1" u="1"/>
        <s v="TC2.2" u="1"/>
        <s v="TC2.3" u="1"/>
        <s v="TC2.4" u="1"/>
        <s v="TC2.5" u="1"/>
        <s v="TC3.1" u="1"/>
        <s v="TC3.2" u="1"/>
        <s v="TC4.1" u="1"/>
        <s v="TC4.2" u="1"/>
        <s v="TC5.1" u="1"/>
        <s v="TC5.2" u="1"/>
        <s v="TC6.1" u="1"/>
        <s v="TC6.2" u="1"/>
        <s v="TC7.1" u="1"/>
        <s v="TC7.2" u="1"/>
        <s v="TC7.3" u="1"/>
        <s v="TC7.4" u="1"/>
        <s v="TC8.1" u="1"/>
        <s v="TC8.2" u="1"/>
        <s v="TC8.3" u="1"/>
        <s v="TC8.4" u="1"/>
        <s v="TC9.1" u="1"/>
        <s v="TC9.2" u="1"/>
        <s v="TC11.1" u="1"/>
        <s v="TC11.2" u="1"/>
        <s v="TC11.3" u="1"/>
        <s v="TC12.1" u="1"/>
        <s v="TC12.2" u="1"/>
        <s v="TC13.1" u="1"/>
        <s v="TC13.2" u="1"/>
        <s v="TC13.3" u="1"/>
        <s v="TC14.1" u="1"/>
        <s v="TC14.2" u="1"/>
      </sharedItems>
    </cacheField>
    <cacheField name="Test Case Name" numFmtId="0">
      <sharedItems containsBlank="1"/>
    </cacheField>
    <cacheField name="Iteration" numFmtId="0">
      <sharedItems containsBlank="1" count="9">
        <s v="Sprint 1 (Auth)"/>
        <s v="Sprint 2 (Article)"/>
        <s v="Sprint 3 (Social&amp;Profile)"/>
        <m/>
        <s v="Sprint 1 (Module người dùng)" u="1"/>
        <s v="Sprint 2 (Đơn nghỉ phép)" u="1"/>
        <s v="Sprint 3 (Phê duyệt)" u="1"/>
        <s v="Sprint 4 (HR)" u="1"/>
        <s v="Sprint 5 (Lịch sử nghỉ phép)" u="1"/>
      </sharedItems>
    </cacheField>
    <cacheField name="In This Iteration?" numFmtId="0">
      <sharedItems containsBlank="1" count="3">
        <s v="Yes"/>
        <s v="No"/>
        <m/>
      </sharedItems>
    </cacheField>
    <cacheField name="Tester" numFmtId="0">
      <sharedItems containsBlank="1"/>
    </cacheField>
    <cacheField name="Status" numFmtId="0">
      <sharedItems containsBlank="1" count="6">
        <s v="Run - Passed"/>
        <s v="Blocked"/>
        <s v="Not Run"/>
        <s v="Run - Failed"/>
        <m/>
        <s v="In Progress" u="1"/>
      </sharedItems>
    </cacheField>
    <cacheField name="Module" numFmtId="0">
      <sharedItems containsBlank="1" count="10">
        <s v="Auth"/>
        <s v="Article"/>
        <s v="Social"/>
        <s v="Profile"/>
        <m/>
        <s v="Người dùng" u="1"/>
        <s v="Đơn nghỉ phép" u="1"/>
        <s v="Phê duyệt" u="1"/>
        <s v="HR" u="1"/>
        <s v="Lịch sử và Audit" u="1"/>
      </sharedItems>
    </cacheField>
    <cacheField name="Priority" numFmtId="0">
      <sharedItems containsBlank="1"/>
    </cacheField>
    <cacheField name="Test type" numFmtId="0">
      <sharedItems containsBlank="1" count="4">
        <s v="Functional Testing"/>
        <m/>
        <s v="Integration Testing" u="1"/>
        <s v="UI Testing"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4.894554398146" createdVersion="8" refreshedVersion="8" minRefreshableVersion="3" recordCount="21" xr:uid="{E89612E7-2651-4273-B310-CDF8B7F815F2}">
  <cacheSource type="worksheet">
    <worksheetSource name="Table3"/>
  </cacheSource>
  <cacheFields count="8">
    <cacheField name="Scenario ID" numFmtId="0">
      <sharedItems/>
    </cacheField>
    <cacheField name="Scenario" numFmtId="0">
      <sharedItems/>
    </cacheField>
    <cacheField name="Test Case ID" numFmtId="0">
      <sharedItems/>
    </cacheField>
    <cacheField name="Test Case Name" numFmtId="0">
      <sharedItems/>
    </cacheField>
    <cacheField name="Test Case Description" numFmtId="0">
      <sharedItems longText="1"/>
    </cacheField>
    <cacheField name="Expected Result" numFmtId="0">
      <sharedItems/>
    </cacheField>
    <cacheField name="Status" numFmtId="0">
      <sharedItems containsBlank="1" count="3">
        <s v="Passed"/>
        <s v="Failed"/>
        <m u="1"/>
      </sharedItems>
    </cacheField>
    <cacheField name="Module" numFmtId="0">
      <sharedItems count="4">
        <s v="Auth"/>
        <s v="Article"/>
        <s v="Social"/>
        <s v="Profi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s v="Đăng ký hợp lệ"/>
    <x v="0"/>
    <x v="0"/>
    <s v="Linh Le"/>
    <x v="0"/>
    <x v="0"/>
    <s v="High"/>
    <x v="0"/>
  </r>
  <r>
    <x v="1"/>
    <s v="Đăng ký email trùng với user đã tồn tại trong hệ thống"/>
    <x v="0"/>
    <x v="0"/>
    <s v="Linh Le"/>
    <x v="0"/>
    <x v="0"/>
    <s v="High"/>
    <x v="0"/>
  </r>
  <r>
    <x v="2"/>
    <s v="Đăng ký bỏ trống trường email hoặc trường password"/>
    <x v="0"/>
    <x v="0"/>
    <s v="Linh Le"/>
    <x v="0"/>
    <x v="0"/>
    <s v="High"/>
    <x v="0"/>
  </r>
  <r>
    <x v="3"/>
    <s v="Đăng nhập hợp lệ"/>
    <x v="0"/>
    <x v="0"/>
    <s v="Linh Le"/>
    <x v="0"/>
    <x v="0"/>
    <s v="High"/>
    <x v="0"/>
  </r>
  <r>
    <x v="4"/>
    <s v="Đăng nhập sai pass"/>
    <x v="0"/>
    <x v="0"/>
    <s v="Linh Le"/>
    <x v="0"/>
    <x v="0"/>
    <s v="High"/>
    <x v="0"/>
  </r>
  <r>
    <x v="5"/>
    <s v="Đăng nhập sai email"/>
    <x v="0"/>
    <x v="0"/>
    <s v="Linh Le"/>
    <x v="0"/>
    <x v="0"/>
    <s v="High"/>
    <x v="0"/>
  </r>
  <r>
    <x v="6"/>
    <s v="Kiểm tra UI form tạo bài viết có đủ các trường thông tin"/>
    <x v="0"/>
    <x v="1"/>
    <s v="Linh Le"/>
    <x v="1"/>
    <x v="1"/>
    <s v="High"/>
    <x v="0"/>
  </r>
  <r>
    <x v="7"/>
    <s v="Kiểm tra khi nhấn nút publish article nhưng bỏ trống các trường bắt buộc"/>
    <x v="0"/>
    <x v="1"/>
    <s v="Linh Le"/>
    <x v="1"/>
    <x v="1"/>
    <s v="High"/>
    <x v="0"/>
  </r>
  <r>
    <x v="8"/>
    <s v="Kiểm tra tạo bài viết với Title đã tồn tại"/>
    <x v="0"/>
    <x v="1"/>
    <s v="Linh Le"/>
    <x v="1"/>
    <x v="1"/>
    <s v="High"/>
    <x v="0"/>
  </r>
  <r>
    <x v="9"/>
    <s v="Kiểm tra số lượng ký tự giới hạn trong các fields"/>
    <x v="0"/>
    <x v="1"/>
    <s v="Linh Le"/>
    <x v="1"/>
    <x v="1"/>
    <s v="High"/>
    <x v="0"/>
  </r>
  <r>
    <x v="10"/>
    <s v="Kiểm tra bài viết hiển thị trên Global Feed,  My Article trong User Profile sau khi tạo"/>
    <x v="0"/>
    <x v="1"/>
    <s v="Linh Le"/>
    <x v="1"/>
    <x v="1"/>
    <s v="High"/>
    <x v="0"/>
  </r>
  <r>
    <x v="11"/>
    <s v="Đọc chi tiết bài viết"/>
    <x v="0"/>
    <x v="1"/>
    <s v="Linh Le"/>
    <x v="1"/>
    <x v="1"/>
    <s v="High"/>
    <x v="0"/>
  </r>
  <r>
    <x v="12"/>
    <s v="Cập nhật bài viết"/>
    <x v="0"/>
    <x v="1"/>
    <s v="Linh Le"/>
    <x v="1"/>
    <x v="1"/>
    <s v="High"/>
    <x v="0"/>
  </r>
  <r>
    <x v="13"/>
    <s v="Kiểm tra khi sửa bài viết cố ý bỏ trống các trường thông tin bắt buộc"/>
    <x v="0"/>
    <x v="1"/>
    <s v="Linh Le"/>
    <x v="1"/>
    <x v="1"/>
    <s v="High"/>
    <x v="0"/>
  </r>
  <r>
    <x v="14"/>
    <s v="Xóa bài viết thành công"/>
    <x v="0"/>
    <x v="1"/>
    <s v="Linh Le"/>
    <x v="1"/>
    <x v="1"/>
    <s v="High"/>
    <x v="0"/>
  </r>
  <r>
    <x v="15"/>
    <s v="Thêm bình luận mới thành công"/>
    <x v="0"/>
    <x v="1"/>
    <s v="Linh Le"/>
    <x v="1"/>
    <x v="2"/>
    <s v="High"/>
    <x v="0"/>
  </r>
  <r>
    <x v="16"/>
    <s v="Xóa bình luận"/>
    <x v="0"/>
    <x v="1"/>
    <s v="Linh Le"/>
    <x v="1"/>
    <x v="2"/>
    <s v="High"/>
    <x v="0"/>
  </r>
  <r>
    <x v="17"/>
    <s v="Thả tim và bỏ thả tym bài viết"/>
    <x v="0"/>
    <x v="1"/>
    <s v="Linh Le"/>
    <x v="1"/>
    <x v="2"/>
    <s v="High"/>
    <x v="0"/>
  </r>
  <r>
    <x v="18"/>
    <s v="Theo dõi tác giả có bài viết hay "/>
    <x v="0"/>
    <x v="1"/>
    <s v="Linh Le"/>
    <x v="1"/>
    <x v="2"/>
    <s v="High"/>
    <x v="0"/>
  </r>
  <r>
    <x v="19"/>
    <s v="Kiểm tra tab My Articles"/>
    <x v="0"/>
    <x v="1"/>
    <s v="Linh Le"/>
    <x v="1"/>
    <x v="3"/>
    <s v="High"/>
    <x v="0"/>
  </r>
  <r>
    <x v="20"/>
    <s v="Kiểm tra tab Favorited Articles"/>
    <x v="0"/>
    <x v="1"/>
    <s v="Linh Le"/>
    <x v="1"/>
    <x v="3"/>
    <s v="High"/>
    <x v="0"/>
  </r>
  <r>
    <x v="0"/>
    <s v="Đăng ký hợp lệ"/>
    <x v="1"/>
    <x v="1"/>
    <s v="Linh Le"/>
    <x v="2"/>
    <x v="0"/>
    <s v="High"/>
    <x v="0"/>
  </r>
  <r>
    <x v="1"/>
    <s v="Đăng ký email trùng với user đã tồn tại trong hệ thống"/>
    <x v="1"/>
    <x v="1"/>
    <s v="Linh Le"/>
    <x v="2"/>
    <x v="0"/>
    <s v="High"/>
    <x v="0"/>
  </r>
  <r>
    <x v="2"/>
    <s v="Đăng ký bỏ trống trường email hoặc trường password"/>
    <x v="1"/>
    <x v="1"/>
    <s v="Linh Le"/>
    <x v="2"/>
    <x v="0"/>
    <s v="High"/>
    <x v="0"/>
  </r>
  <r>
    <x v="3"/>
    <s v="Đăng nhập hợp lệ"/>
    <x v="1"/>
    <x v="0"/>
    <s v="Linh Le"/>
    <x v="0"/>
    <x v="0"/>
    <s v="High"/>
    <x v="0"/>
  </r>
  <r>
    <x v="4"/>
    <s v="Đăng nhập sai pass"/>
    <x v="1"/>
    <x v="0"/>
    <s v="Linh Le"/>
    <x v="0"/>
    <x v="0"/>
    <s v="High"/>
    <x v="0"/>
  </r>
  <r>
    <x v="5"/>
    <s v="Đăng nhập sai email"/>
    <x v="1"/>
    <x v="0"/>
    <s v="Linh Le"/>
    <x v="0"/>
    <x v="0"/>
    <s v="High"/>
    <x v="0"/>
  </r>
  <r>
    <x v="6"/>
    <s v="Kiểm tra UI form tạo bài viết có đủ các trường thông tin"/>
    <x v="1"/>
    <x v="0"/>
    <s v="Linh Le"/>
    <x v="0"/>
    <x v="1"/>
    <s v="High"/>
    <x v="0"/>
  </r>
  <r>
    <x v="7"/>
    <s v="Kiểm tra khi nhấn nút publish article nhưng bỏ trống các trường bắt buộc"/>
    <x v="1"/>
    <x v="0"/>
    <s v="Linh Le"/>
    <x v="0"/>
    <x v="1"/>
    <s v="High"/>
    <x v="0"/>
  </r>
  <r>
    <x v="8"/>
    <s v="Kiểm tra tạo bài viết với Title đã tồn tại"/>
    <x v="1"/>
    <x v="0"/>
    <s v="Linh Le"/>
    <x v="3"/>
    <x v="1"/>
    <s v="High"/>
    <x v="0"/>
  </r>
  <r>
    <x v="9"/>
    <s v="Kiểm tra số lượng ký tự giới hạn trong các fields"/>
    <x v="1"/>
    <x v="0"/>
    <s v="Linh Le"/>
    <x v="0"/>
    <x v="1"/>
    <s v="High"/>
    <x v="0"/>
  </r>
  <r>
    <x v="10"/>
    <s v="Kiểm tra bài viết hiển thị trên Global Feed,  My Article trong User Profile sau khi tạo"/>
    <x v="1"/>
    <x v="0"/>
    <s v="Linh Le"/>
    <x v="0"/>
    <x v="1"/>
    <s v="High"/>
    <x v="0"/>
  </r>
  <r>
    <x v="11"/>
    <s v="Đọc chi tiết bài viết"/>
    <x v="1"/>
    <x v="0"/>
    <s v="Linh Le"/>
    <x v="0"/>
    <x v="1"/>
    <s v="High"/>
    <x v="0"/>
  </r>
  <r>
    <x v="12"/>
    <s v="Cập nhật bài viết"/>
    <x v="1"/>
    <x v="0"/>
    <s v="Linh Le"/>
    <x v="0"/>
    <x v="1"/>
    <s v="High"/>
    <x v="0"/>
  </r>
  <r>
    <x v="13"/>
    <s v="Kiểm tra khi sửa bài viết cố ý bỏ trống các trường thông tin bắt buộc"/>
    <x v="1"/>
    <x v="0"/>
    <s v="Linh Le"/>
    <x v="0"/>
    <x v="1"/>
    <s v="High"/>
    <x v="0"/>
  </r>
  <r>
    <x v="14"/>
    <s v="Xóa bài viết thành công"/>
    <x v="1"/>
    <x v="0"/>
    <s v="Linh Le"/>
    <x v="0"/>
    <x v="1"/>
    <s v="High"/>
    <x v="0"/>
  </r>
  <r>
    <x v="15"/>
    <s v="Thêm bình luận mới thành công"/>
    <x v="1"/>
    <x v="1"/>
    <s v="Linh Le"/>
    <x v="1"/>
    <x v="2"/>
    <s v="High"/>
    <x v="0"/>
  </r>
  <r>
    <x v="16"/>
    <s v="Xóa bình luận"/>
    <x v="1"/>
    <x v="1"/>
    <s v="Linh Le"/>
    <x v="1"/>
    <x v="2"/>
    <s v="High"/>
    <x v="0"/>
  </r>
  <r>
    <x v="17"/>
    <s v="Thả tim và bỏ thả tym bài viết"/>
    <x v="1"/>
    <x v="1"/>
    <s v="Linh Le"/>
    <x v="1"/>
    <x v="2"/>
    <s v="High"/>
    <x v="0"/>
  </r>
  <r>
    <x v="18"/>
    <s v="Theo dõi tác giả có bài viết hay "/>
    <x v="1"/>
    <x v="1"/>
    <s v="Linh Le"/>
    <x v="1"/>
    <x v="2"/>
    <s v="High"/>
    <x v="0"/>
  </r>
  <r>
    <x v="19"/>
    <s v="Kiểm tra tab My Articles"/>
    <x v="1"/>
    <x v="1"/>
    <s v="Linh Le"/>
    <x v="1"/>
    <x v="3"/>
    <s v="High"/>
    <x v="0"/>
  </r>
  <r>
    <x v="20"/>
    <s v="Kiểm tra tab Favorited Articles"/>
    <x v="1"/>
    <x v="1"/>
    <s v="Linh Le"/>
    <x v="1"/>
    <x v="3"/>
    <s v="High"/>
    <x v="0"/>
  </r>
  <r>
    <x v="0"/>
    <s v="Đăng ký hợp lệ"/>
    <x v="2"/>
    <x v="0"/>
    <s v="Linh Le"/>
    <x v="0"/>
    <x v="0"/>
    <s v="High"/>
    <x v="0"/>
  </r>
  <r>
    <x v="1"/>
    <s v="Đăng ký email trùng với user đã tồn tại trong hệ thống"/>
    <x v="2"/>
    <x v="1"/>
    <s v="Linh Le"/>
    <x v="2"/>
    <x v="0"/>
    <s v="High"/>
    <x v="0"/>
  </r>
  <r>
    <x v="2"/>
    <s v="Đăng ký bỏ trống trường email hoặc trường password"/>
    <x v="2"/>
    <x v="1"/>
    <s v="Linh Le"/>
    <x v="2"/>
    <x v="0"/>
    <s v="High"/>
    <x v="0"/>
  </r>
  <r>
    <x v="3"/>
    <s v="Đăng nhập hợp lệ"/>
    <x v="2"/>
    <x v="0"/>
    <s v="Linh Le"/>
    <x v="0"/>
    <x v="0"/>
    <s v="High"/>
    <x v="0"/>
  </r>
  <r>
    <x v="4"/>
    <s v="Đăng nhập sai pass"/>
    <x v="2"/>
    <x v="1"/>
    <s v="Linh Le"/>
    <x v="2"/>
    <x v="0"/>
    <s v="High"/>
    <x v="0"/>
  </r>
  <r>
    <x v="5"/>
    <s v="Đăng nhập sai email"/>
    <x v="2"/>
    <x v="1"/>
    <s v="Linh Le"/>
    <x v="2"/>
    <x v="0"/>
    <s v="High"/>
    <x v="0"/>
  </r>
  <r>
    <x v="6"/>
    <s v="Kiểm tra UI form tạo bài viết có đủ các trường thông tin"/>
    <x v="2"/>
    <x v="0"/>
    <s v="Linh Le"/>
    <x v="0"/>
    <x v="1"/>
    <s v="High"/>
    <x v="0"/>
  </r>
  <r>
    <x v="7"/>
    <s v="Kiểm tra khi nhấn nút publish article nhưng bỏ trống các trường bắt buộc"/>
    <x v="2"/>
    <x v="0"/>
    <s v="Linh Le"/>
    <x v="0"/>
    <x v="1"/>
    <s v="High"/>
    <x v="0"/>
  </r>
  <r>
    <x v="8"/>
    <s v="Kiểm tra tạo bài viết với Title đã tồn tại"/>
    <x v="2"/>
    <x v="0"/>
    <s v="Linh Le"/>
    <x v="0"/>
    <x v="1"/>
    <s v="High"/>
    <x v="0"/>
  </r>
  <r>
    <x v="9"/>
    <s v="Kiểm tra số lượng ký tự giới hạn trong các fields"/>
    <x v="2"/>
    <x v="0"/>
    <s v="Linh Le"/>
    <x v="3"/>
    <x v="1"/>
    <s v="High"/>
    <x v="0"/>
  </r>
  <r>
    <x v="10"/>
    <s v="Kiểm tra bài viết hiển thị trên Global Feed,  My Article trong User Profile sau khi tạo"/>
    <x v="2"/>
    <x v="0"/>
    <s v="Linh Le"/>
    <x v="0"/>
    <x v="1"/>
    <s v="High"/>
    <x v="0"/>
  </r>
  <r>
    <x v="11"/>
    <s v="Đọc chi tiết bài viết"/>
    <x v="2"/>
    <x v="0"/>
    <s v="Linh Le"/>
    <x v="0"/>
    <x v="1"/>
    <s v="High"/>
    <x v="0"/>
  </r>
  <r>
    <x v="12"/>
    <s v="Cập nhật bài viết"/>
    <x v="2"/>
    <x v="0"/>
    <s v="Linh Le"/>
    <x v="0"/>
    <x v="1"/>
    <s v="High"/>
    <x v="0"/>
  </r>
  <r>
    <x v="13"/>
    <s v="Kiểm tra khi sửa bài viết cố ý bỏ trống các trường thông tin bắt buộc"/>
    <x v="2"/>
    <x v="0"/>
    <s v="Linh Le"/>
    <x v="0"/>
    <x v="1"/>
    <s v="High"/>
    <x v="0"/>
  </r>
  <r>
    <x v="14"/>
    <s v="Xóa bài viết thành công"/>
    <x v="2"/>
    <x v="0"/>
    <s v="Linh Le"/>
    <x v="0"/>
    <x v="1"/>
    <s v="High"/>
    <x v="0"/>
  </r>
  <r>
    <x v="15"/>
    <s v="Thêm bình luận mới thành công"/>
    <x v="2"/>
    <x v="0"/>
    <s v="Linh Le"/>
    <x v="0"/>
    <x v="2"/>
    <s v="High"/>
    <x v="0"/>
  </r>
  <r>
    <x v="16"/>
    <s v="Xóa bình luận"/>
    <x v="2"/>
    <x v="0"/>
    <s v="Linh Le"/>
    <x v="0"/>
    <x v="2"/>
    <s v="High"/>
    <x v="0"/>
  </r>
  <r>
    <x v="17"/>
    <s v="Thả tim và bỏ thả tym bài viết"/>
    <x v="2"/>
    <x v="0"/>
    <s v="Linh Le"/>
    <x v="0"/>
    <x v="2"/>
    <s v="High"/>
    <x v="0"/>
  </r>
  <r>
    <x v="18"/>
    <s v="Theo dõi tác giả có bài viết hay "/>
    <x v="2"/>
    <x v="0"/>
    <s v="Linh Le"/>
    <x v="0"/>
    <x v="2"/>
    <s v="High"/>
    <x v="0"/>
  </r>
  <r>
    <x v="19"/>
    <s v="Kiểm tra tab My Articles"/>
    <x v="2"/>
    <x v="0"/>
    <s v="Linh Le"/>
    <x v="0"/>
    <x v="3"/>
    <s v="High"/>
    <x v="0"/>
  </r>
  <r>
    <x v="20"/>
    <s v="Kiểm tra tab Favorited Articles"/>
    <x v="2"/>
    <x v="0"/>
    <s v="Linh Le"/>
    <x v="0"/>
    <x v="3"/>
    <s v="High"/>
    <x v="0"/>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r>
    <x v="21"/>
    <m/>
    <x v="3"/>
    <x v="2"/>
    <m/>
    <x v="4"/>
    <x v="4"/>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TS1"/>
    <s v="Đăng ký"/>
    <s v="TC01.1"/>
    <s v="Đăng ký hợp lệ"/>
    <s v="B1: Điền đúng email hợp lệ _x000a_B2: Điền đúng password theo yêu cầu _x000a_B3: Điền Tên của người dùng _x000a_B4: Nhấn nút đăng ký"/>
    <s v="Đăng ký thành công kèm thông báo"/>
    <x v="0"/>
    <x v="0"/>
  </r>
  <r>
    <s v="TS1"/>
    <s v="Đăng ký"/>
    <s v="TC01.2"/>
    <s v="Đăng ký email trùng với user đã tồn tại trong hệ thống"/>
    <s v="B1: Tạo sẵn 1 user với email trong hệ thống _x000a_B2: Đăng ký thêm với cùng email đó _x000a_B3: Nhấn nút đăng ký"/>
    <s v="Hệ thống báo lỗi email đã được sử dụng"/>
    <x v="0"/>
    <x v="0"/>
  </r>
  <r>
    <s v="TS1"/>
    <s v="Đăng ký"/>
    <s v="TC01.3"/>
    <s v="Đăng ký bỏ trống trường email hoặc trường password"/>
    <s v="B1: Điền Tên người dùng _x000a_B2: bỏ trống email hoặc password_x000a_B3: nhấn nút đăng ký"/>
    <s v="Hệ thống báo lỗi cần nhập email/password"/>
    <x v="0"/>
    <x v="0"/>
  </r>
  <r>
    <s v="TS2"/>
    <s v="Đăng nhập"/>
    <s v="TC02.1"/>
    <s v="Đăng nhập hợp lệ"/>
    <s v="B1: Điền thông tin email_x000a_B2: Điền thông tin password _x000a_B3: Nhấn nút đăng nhập"/>
    <s v="Hệ thống thông báo đăng nhập thành công và điều hướng đến trang chủ"/>
    <x v="0"/>
    <x v="0"/>
  </r>
  <r>
    <s v="TS2"/>
    <s v="Đăng nhập"/>
    <s v="TC02.2"/>
    <s v="Đăng nhập sai pass"/>
    <s v="B1: Điền thông tin email_x000a_B2: Điền thông tin password sai_x000a_B3: Nhấn nút đăng nhập"/>
    <s v="Hệ thống báo lỗi mật khẩu không đúng"/>
    <x v="0"/>
    <x v="0"/>
  </r>
  <r>
    <s v="TS2"/>
    <s v="Đăng nhập"/>
    <s v="TC02.3"/>
    <s v="Đăng nhập sai email"/>
    <s v="B1: Điền thông tin email sai_x000a_B2: Điền thông tin password đúng_x000a_B3: Nhấn nút đăng nhập"/>
    <s v="Hệ thống báo lỗi email không đúng"/>
    <x v="0"/>
    <x v="0"/>
  </r>
  <r>
    <s v="TS3"/>
    <s v="Tạo bài viết"/>
    <s v="TC03.1"/>
    <s v="Kiểm tra UI form tạo bài viết có đủ các trường thông tin"/>
    <s v="B1: Nhấn nút New Article _x000a_B2: Xác nhận đủ các field (Title, About, Body, Tags)"/>
    <s v="Có đủ các field (Title, About, Body, Tags)"/>
    <x v="0"/>
    <x v="1"/>
  </r>
  <r>
    <s v="TS3"/>
    <s v="Tạo bài viết"/>
    <s v="TC03.2"/>
    <s v="Kiểm tra khi nhấn nút publish article nhưng bỏ trống các trường bắt buộc"/>
    <s v="B1: Nhấn nút New Article _x000a_B2: bỏ trống 1 trong các fields (Title, About, Body)_x000a_B3: nhấn nút publish article"/>
    <s v="Hệ thống báo lỗi cần điền các fields (Title, About, Body)"/>
    <x v="0"/>
    <x v="1"/>
  </r>
  <r>
    <s v="TS3"/>
    <s v="Tạo bài viết"/>
    <s v="TC03.3"/>
    <s v="Kiểm tra tạo bài viết với Title đã tồn tại"/>
    <s v="B1: Nhấn nút New Article _x000a_B2: điền đủ các fields (Title, About, Body, Tags)_x000a_B3: nhấn nút publish article_x000a_B4: Nhấn nút New Article _x000a_B5: điền đủ các fields  (Title, About, Body, Tags) nhưng với title name trùng với B2_x000a_B6: nhấn nút publish article_x000a_"/>
    <s v="Hệ thống cho phép tạo thành công bình thường "/>
    <x v="1"/>
    <x v="1"/>
  </r>
  <r>
    <s v="TS3"/>
    <s v="Tạo bài viết"/>
    <s v="TC03.4"/>
    <s v="Kiểm tra số lượng ký tự giới hạn trong các fields"/>
    <s v="Boundary testing"/>
    <s v="Giới hạn text"/>
    <x v="1"/>
    <x v="1"/>
  </r>
  <r>
    <s v="TS3"/>
    <s v="Tạo bài viết"/>
    <s v="TC03.5"/>
    <s v="Kiểm tra bài viết hiển thị trên Global Feed,  My Article trong User Profile sau khi tạo"/>
    <s v="B1: tạo bài viết_x000a_B2: truy cập các trang Global Feed, My Article trong User Profile và kiểm tra bài viết"/>
    <s v="Bài viết mới tạo hiện thị trên đầu ở các trang Global Feed, My Article trong User Profile "/>
    <x v="0"/>
    <x v="1"/>
  </r>
  <r>
    <s v="TS4"/>
    <s v="Đọc bài viết"/>
    <s v="TC04.1"/>
    <s v="Đọc chi tiết bài viết"/>
    <s v="B1: Nhấn vào tiêu đề bài viết hoặc nhấn vào nút View more_x000a_B2: Kiểm tra điều hướng của hệ thống và nội dung văn bản khi xem "/>
    <s v="Hệ thống điều hướng qua trang xem chi tiết bài viết _x000a_Văn bản được render ngay ngăn, không bị tràn hay vỡ layout"/>
    <x v="0"/>
    <x v="1"/>
  </r>
  <r>
    <s v="TS5"/>
    <s v="Sửa bài viết"/>
    <s v="TC05.1"/>
    <s v="Cập nhật bài viết"/>
    <s v="B1: Truy câp trang chi tiết bài viết của 1 bài _x000a_B2: nhấn nút edit article_x000a_B3: chỉnh sửa nội dung cần thiết_x000a_B4: nhấn nút update article"/>
    <s v="Nội dung bài viết được cập nhập tương ứng, và nội dung được cập nhập được hiển thị đồng bộ trên các trang Global Feed,  My Article trong User Profile "/>
    <x v="0"/>
    <x v="1"/>
  </r>
  <r>
    <s v="TS5"/>
    <s v="Sửa bài viết"/>
    <s v="TC05.2"/>
    <s v="Kiểm tra khi sửa bài viết cố ý bỏ trống các trường thông tin bắt buộc"/>
    <s v="B1: Truy câp trang chi tiết bài viết của 1 bài _x000a_B2: nhấn nút edit article_x000a_B3: xóa 1 vài trường thông tin bắt buộc_x000a_B4: nhấn nút update article"/>
    <s v="Hệ thống báo lỗi cần nhập các trường thông tin bắt buộc"/>
    <x v="0"/>
    <x v="1"/>
  </r>
  <r>
    <s v="TS6"/>
    <s v="Xóa bài viết"/>
    <s v="TC06.1"/>
    <s v="Xóa bài viết thành công"/>
    <s v="B1: Truy câp trang chi tiết bài viết của 1 bài _x000a_B2: nhấn nút delete article_x000a_B3: nhấn nút xác nhận khi hệ thống hiển thị pop-up xác nhận xóa "/>
    <s v="Bài viết bị xóa khỏi UI và DB và không hiển thị bài viết này ở các trang tương ứng Global Feed,  My Article trong User Profile "/>
    <x v="0"/>
    <x v="1"/>
  </r>
  <r>
    <s v="TS7"/>
    <s v="Bình luận"/>
    <s v="TC07.1"/>
    <s v="Thêm bình luận mới thành công"/>
    <s v="B1: Truy câp trang chi tiết bài viết của 1 bài _x000a_B2: nhập bình luận và nhấn nút Post comment _x000a_B3: kiểm tra bình luận hiển thị trong bài viết"/>
    <s v="Bình luận hiển thị trong bài viết kèm tên người bình luận và thời gian bình luận_x000a_Bình luận mới sẽ hiển thị lên đầu "/>
    <x v="0"/>
    <x v="2"/>
  </r>
  <r>
    <s v="TS7"/>
    <s v="Bình luận"/>
    <s v="TC07.2"/>
    <s v="Xóa bình luận"/>
    <s v="B1: Truy câp trang chi tiết bài viết của 1 bài viết với điều kiện bài viết đó đã có nhiều bình luận từ chính mình và từ người khác _x000a_B2: kiểm tra nút xóa ở cạnh mỗi bình luận _x000a_B3: kiểm tra sau khi nhấn nút xóa"/>
    <s v="nút xóa chỉ hiển thị cạnh bình luận của chính mình _x000a_khi nhấn nút xóa thì bình luận biến mất"/>
    <x v="0"/>
    <x v="2"/>
  </r>
  <r>
    <s v="TS8"/>
    <s v="Danh sách Yêu thích"/>
    <s v="TC08.1"/>
    <s v="Thả tim và bỏ thả tym bài viết"/>
    <s v="B1: Thả tym và bài viết bất kì ở trang Global Feed _x000a_B2: Kiểm tra bài viết này ở các trang còn lại xem biểu tượng tym có hiển thị đã tick tương ứng không _x000a_B3: bỏ thả tym cho bài viết _x000a_B4: Kiểm tra bài viết này ở các trang còn lại xem biểu tượng tym có bị untick tương ứng không"/>
    <s v="Khi thả tym, biểu tượng tym sáng màu xanh lá cây, còn khi bỏ thay tym thì biểu tượng tym hiển thị màu trắng"/>
    <x v="0"/>
    <x v="2"/>
  </r>
  <r>
    <s v="TS9"/>
    <s v="Theo dõi tác giả yêu thích"/>
    <s v="TC09.1"/>
    <s v="Theo dõi tác giả có bài viết hay "/>
    <s v="B1: xem chi tiết bài viết của 1 tác giả bất kì _x000a_B2: nhấn nút theo dõi tác giả _x000a_B3: Kiểm tra trạng thái nút và trang Your Feed "/>
    <s v="Nút chuyển qua trạng thái đã follow và trang Your Feed chỉ hiển thị các bài viết của tác giả vừa theo dõi"/>
    <x v="0"/>
    <x v="2"/>
  </r>
  <r>
    <s v="TS10"/>
    <s v="Hồ sơ cá nhân"/>
    <s v="TC10.1"/>
    <s v="Kiểm tra tab My Articles"/>
    <s v="B1: Truy cập trang User profile _x000a_B2: kiểm tra tab My Articles"/>
    <s v="Chỉ hiển thị bài viết của chính mình, bài mới nhất sẽ hiển thị lên đầu"/>
    <x v="0"/>
    <x v="3"/>
  </r>
  <r>
    <s v="TS10"/>
    <s v="Hồ sơ cá nhân"/>
    <s v="TC10.2"/>
    <s v="Kiểm tra tab Favorited Articles"/>
    <s v="B1: Truy cập trang User profile _x000a_B2: kiểm tra tab Favorited Articles"/>
    <s v="hiển thị bài viết mà mình đã thả tym, bài mới nhất sẽ hiển thị lên đầu"/>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D81E3F-3C99-4992-ABC1-B246A97F4A82}" name="PivotTable9" cacheId="4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G44" firstHeaderRow="1" firstDataRow="2" firstDataCol="1" rowPageCount="2" colPageCount="1"/>
  <pivotFields count="9">
    <pivotField axis="axisRow" dataField="1" compact="0" outline="0" showAll="0">
      <items count="60">
        <item m="1" x="23"/>
        <item m="1" x="24"/>
        <item m="1" x="25"/>
        <item x="19"/>
        <item x="20"/>
        <item m="1" x="49"/>
        <item m="1" x="50"/>
        <item m="1" x="51"/>
        <item m="1" x="52"/>
        <item m="1" x="53"/>
        <item m="1" x="54"/>
        <item m="1" x="55"/>
        <item m="1" x="56"/>
        <item m="1" x="57"/>
        <item m="1" x="58"/>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x="0"/>
        <item x="1"/>
        <item x="2"/>
        <item x="3"/>
        <item x="4"/>
        <item x="5"/>
        <item x="6"/>
        <item x="7"/>
        <item x="8"/>
        <item x="9"/>
        <item x="10"/>
        <item x="11"/>
        <item x="12"/>
        <item x="13"/>
        <item x="14"/>
        <item x="15"/>
        <item x="16"/>
        <item x="17"/>
        <item x="18"/>
        <item m="1" x="22"/>
        <item x="21"/>
        <item t="default"/>
      </items>
    </pivotField>
    <pivotField compact="0" outline="0" showAll="0"/>
    <pivotField axis="axisPage" compact="0" outline="0" showAll="0">
      <items count="10">
        <item m="1" x="4"/>
        <item m="1" x="5"/>
        <item m="1" x="6"/>
        <item m="1" x="7"/>
        <item m="1" x="8"/>
        <item x="0"/>
        <item x="1"/>
        <item x="2"/>
        <item x="3"/>
        <item t="default"/>
      </items>
    </pivotField>
    <pivotField axis="axisPage" compact="0" outline="0" showAll="0">
      <items count="4">
        <item x="1"/>
        <item x="0"/>
        <item x="2"/>
        <item t="default"/>
      </items>
    </pivotField>
    <pivotField compact="0" outline="0" showAll="0"/>
    <pivotField axis="axisCol" compact="0" outline="0" showAll="0">
      <items count="7">
        <item x="1"/>
        <item x="2"/>
        <item x="0"/>
        <item x="3"/>
        <item m="1" x="5"/>
        <item x="4"/>
        <item t="default"/>
      </items>
    </pivotField>
    <pivotField compact="0" outline="0" showAll="0"/>
    <pivotField compact="0" outline="0" showAll="0"/>
    <pivotField compact="0" outline="0" showAll="0"/>
  </pivotFields>
  <rowFields count="1">
    <field x="0"/>
  </rowFields>
  <rowItems count="23">
    <i>
      <x v="3"/>
    </i>
    <i>
      <x v="4"/>
    </i>
    <i>
      <x v="38"/>
    </i>
    <i>
      <x v="39"/>
    </i>
    <i>
      <x v="40"/>
    </i>
    <i>
      <x v="41"/>
    </i>
    <i>
      <x v="42"/>
    </i>
    <i>
      <x v="43"/>
    </i>
    <i>
      <x v="44"/>
    </i>
    <i>
      <x v="45"/>
    </i>
    <i>
      <x v="46"/>
    </i>
    <i>
      <x v="47"/>
    </i>
    <i>
      <x v="48"/>
    </i>
    <i>
      <x v="49"/>
    </i>
    <i>
      <x v="50"/>
    </i>
    <i>
      <x v="51"/>
    </i>
    <i>
      <x v="52"/>
    </i>
    <i>
      <x v="53"/>
    </i>
    <i>
      <x v="54"/>
    </i>
    <i>
      <x v="55"/>
    </i>
    <i>
      <x v="56"/>
    </i>
    <i>
      <x v="58"/>
    </i>
    <i t="grand">
      <x/>
    </i>
  </rowItems>
  <colFields count="1">
    <field x="5"/>
  </colFields>
  <colItems count="6">
    <i>
      <x/>
    </i>
    <i>
      <x v="1"/>
    </i>
    <i>
      <x v="2"/>
    </i>
    <i>
      <x v="3"/>
    </i>
    <i>
      <x v="5"/>
    </i>
    <i t="grand">
      <x/>
    </i>
  </colItems>
  <pageFields count="2">
    <pageField fld="2" hier="-1"/>
    <pageField fld="3" hier="-1"/>
  </pageFields>
  <dataFields count="1">
    <dataField name="Count of Test Cas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CA015-B8C8-4A9F-BE0D-9ED48DE26481}" name="PivotTable8" cacheId="4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7:F14" firstHeaderRow="1" firstDataRow="2" firstDataCol="1" rowPageCount="1" colPageCount="1"/>
  <pivotFields count="9">
    <pivotField dataField="1" compact="0" outline="0" showAll="0"/>
    <pivotField compact="0" outline="0" showAll="0"/>
    <pivotField axis="axisCol" compact="0" outline="0" showAll="0">
      <items count="10">
        <item m="1" x="4"/>
        <item m="1" x="5"/>
        <item m="1" x="6"/>
        <item m="1" x="7"/>
        <item m="1" x="8"/>
        <item x="0"/>
        <item x="1"/>
        <item x="2"/>
        <item x="3"/>
        <item t="default"/>
      </items>
    </pivotField>
    <pivotField axis="axisPage" compact="0" outline="0" showAll="0">
      <items count="4">
        <item x="1"/>
        <item x="0"/>
        <item x="2"/>
        <item t="default"/>
      </items>
    </pivotField>
    <pivotField compact="0" outline="0" showAll="0"/>
    <pivotField axis="axisRow" compact="0" outline="0" showAll="0">
      <items count="7">
        <item x="1"/>
        <item x="2"/>
        <item x="0"/>
        <item x="3"/>
        <item m="1" x="5"/>
        <item x="4"/>
        <item t="default"/>
      </items>
    </pivotField>
    <pivotField compact="0" outline="0" showAll="0"/>
    <pivotField compact="0" outline="0" showAll="0"/>
    <pivotField compact="0" outline="0" showAll="0"/>
  </pivotFields>
  <rowFields count="1">
    <field x="5"/>
  </rowFields>
  <rowItems count="6">
    <i>
      <x/>
    </i>
    <i>
      <x v="1"/>
    </i>
    <i>
      <x v="2"/>
    </i>
    <i>
      <x v="3"/>
    </i>
    <i>
      <x v="5"/>
    </i>
    <i t="grand">
      <x/>
    </i>
  </rowItems>
  <colFields count="1">
    <field x="2"/>
  </colFields>
  <colItems count="5">
    <i>
      <x v="5"/>
    </i>
    <i>
      <x v="6"/>
    </i>
    <i>
      <x v="7"/>
    </i>
    <i>
      <x v="8"/>
    </i>
    <i t="grand">
      <x/>
    </i>
  </colItems>
  <pageFields count="1">
    <pageField fld="3" hier="-1"/>
  </pageFields>
  <dataFields count="1">
    <dataField name="Count of Test Case ID" fld="0" subtotal="count" baseField="0" baseItem="0"/>
  </dataFields>
  <chartFormats count="24">
    <chartFormat chart="1" format="5" series="1">
      <pivotArea type="data" outline="0" fieldPosition="0">
        <references count="2">
          <reference field="4294967294" count="1" selected="0">
            <x v="0"/>
          </reference>
          <reference field="2" count="1" selected="0">
            <x v="0"/>
          </reference>
        </references>
      </pivotArea>
    </chartFormat>
    <chartFormat chart="1" format="6" series="1">
      <pivotArea type="data" outline="0" fieldPosition="0">
        <references count="2">
          <reference field="4294967294" count="1" selected="0">
            <x v="0"/>
          </reference>
          <reference field="2" count="1" selected="0">
            <x v="1"/>
          </reference>
        </references>
      </pivotArea>
    </chartFormat>
    <chartFormat chart="1" format="7" series="1">
      <pivotArea type="data" outline="0" fieldPosition="0">
        <references count="2">
          <reference field="4294967294" count="1" selected="0">
            <x v="0"/>
          </reference>
          <reference field="2" count="1" selected="0">
            <x v="2"/>
          </reference>
        </references>
      </pivotArea>
    </chartFormat>
    <chartFormat chart="1" format="8" series="1">
      <pivotArea type="data" outline="0" fieldPosition="0">
        <references count="2">
          <reference field="4294967294" count="1" selected="0">
            <x v="0"/>
          </reference>
          <reference field="2" count="1" selected="0">
            <x v="3"/>
          </reference>
        </references>
      </pivotArea>
    </chartFormat>
    <chartFormat chart="1" format="9"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 chart="3" format="15" series="1">
      <pivotArea type="data" outline="0" fieldPosition="0">
        <references count="2">
          <reference field="4294967294" count="1" selected="0">
            <x v="0"/>
          </reference>
          <reference field="2" count="1" selected="0">
            <x v="0"/>
          </reference>
        </references>
      </pivotArea>
    </chartFormat>
    <chartFormat chart="3" format="16" series="1">
      <pivotArea type="data" outline="0" fieldPosition="0">
        <references count="2">
          <reference field="4294967294" count="1" selected="0">
            <x v="0"/>
          </reference>
          <reference field="2" count="1" selected="0">
            <x v="1"/>
          </reference>
        </references>
      </pivotArea>
    </chartFormat>
    <chartFormat chart="3" format="17" series="1">
      <pivotArea type="data" outline="0" fieldPosition="0">
        <references count="2">
          <reference field="4294967294" count="1" selected="0">
            <x v="0"/>
          </reference>
          <reference field="2" count="1" selected="0">
            <x v="2"/>
          </reference>
        </references>
      </pivotArea>
    </chartFormat>
    <chartFormat chart="3" format="18" series="1">
      <pivotArea type="data" outline="0" fieldPosition="0">
        <references count="2">
          <reference field="4294967294" count="1" selected="0">
            <x v="0"/>
          </reference>
          <reference field="2" count="1" selected="0">
            <x v="3"/>
          </reference>
        </references>
      </pivotArea>
    </chartFormat>
    <chartFormat chart="3" format="19" series="1">
      <pivotArea type="data" outline="0" fieldPosition="0">
        <references count="2">
          <reference field="4294967294" count="1" selected="0">
            <x v="0"/>
          </reference>
          <reference field="2" count="1" selected="0">
            <x v="4"/>
          </reference>
        </references>
      </pivotArea>
    </chartFormat>
    <chartFormat chart="4" format="20" series="1">
      <pivotArea type="data" outline="0" fieldPosition="0">
        <references count="2">
          <reference field="4294967294" count="1" selected="0">
            <x v="0"/>
          </reference>
          <reference field="2" count="1" selected="0">
            <x v="0"/>
          </reference>
        </references>
      </pivotArea>
    </chartFormat>
    <chartFormat chart="4" format="21" series="1">
      <pivotArea type="data" outline="0" fieldPosition="0">
        <references count="2">
          <reference field="4294967294" count="1" selected="0">
            <x v="0"/>
          </reference>
          <reference field="2" count="1" selected="0">
            <x v="1"/>
          </reference>
        </references>
      </pivotArea>
    </chartFormat>
    <chartFormat chart="4" format="22" series="1">
      <pivotArea type="data" outline="0" fieldPosition="0">
        <references count="2">
          <reference field="4294967294" count="1" selected="0">
            <x v="0"/>
          </reference>
          <reference field="2" count="1" selected="0">
            <x v="2"/>
          </reference>
        </references>
      </pivotArea>
    </chartFormat>
    <chartFormat chart="4" format="23" series="1">
      <pivotArea type="data" outline="0" fieldPosition="0">
        <references count="2">
          <reference field="4294967294" count="1" selected="0">
            <x v="0"/>
          </reference>
          <reference field="2" count="1" selected="0">
            <x v="3"/>
          </reference>
        </references>
      </pivotArea>
    </chartFormat>
    <chartFormat chart="4" format="24" series="1">
      <pivotArea type="data" outline="0" fieldPosition="0">
        <references count="2">
          <reference field="4294967294" count="1" selected="0">
            <x v="0"/>
          </reference>
          <reference field="2" count="1" selected="0">
            <x v="4"/>
          </reference>
        </references>
      </pivotArea>
    </chartFormat>
    <chartFormat chart="4" format="25" series="1">
      <pivotArea type="data" outline="0" fieldPosition="0">
        <references count="2">
          <reference field="4294967294" count="1" selected="0">
            <x v="0"/>
          </reference>
          <reference field="2" count="1" selected="0">
            <x v="5"/>
          </reference>
        </references>
      </pivotArea>
    </chartFormat>
    <chartFormat chart="4" format="26" series="1">
      <pivotArea type="data" outline="0" fieldPosition="0">
        <references count="2">
          <reference field="4294967294" count="1" selected="0">
            <x v="0"/>
          </reference>
          <reference field="2" count="1" selected="0">
            <x v="6"/>
          </reference>
        </references>
      </pivotArea>
    </chartFormat>
    <chartFormat chart="4" format="27" series="1">
      <pivotArea type="data" outline="0" fieldPosition="0">
        <references count="2">
          <reference field="4294967294" count="1" selected="0">
            <x v="0"/>
          </reference>
          <reference field="2" count="1" selected="0">
            <x v="7"/>
          </reference>
        </references>
      </pivotArea>
    </chartFormat>
    <chartFormat chart="4" format="28" series="1">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DAFA31-F436-4E52-B65D-A3E84895BBA1}" name="PivotTable11" cacheId="4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25:R29" firstHeaderRow="1" firstDataRow="2" firstDataCol="1" rowPageCount="2" colPageCount="1"/>
  <pivotFields count="9">
    <pivotField dataField="1" compact="0" outline="0" showAll="0"/>
    <pivotField compact="0" outline="0" showAll="0"/>
    <pivotField axis="axisPage" compact="0" outline="0" showAll="0">
      <items count="10">
        <item m="1" x="4"/>
        <item m="1" x="5"/>
        <item m="1" x="6"/>
        <item m="1" x="7"/>
        <item m="1" x="8"/>
        <item x="0"/>
        <item x="1"/>
        <item x="2"/>
        <item x="3"/>
        <item t="default"/>
      </items>
    </pivotField>
    <pivotField axis="axisPage" compact="0" outline="0" showAll="0">
      <items count="4">
        <item x="1"/>
        <item x="0"/>
        <item x="2"/>
        <item t="default"/>
      </items>
    </pivotField>
    <pivotField compact="0" outline="0" showAll="0"/>
    <pivotField axis="axisCol" compact="0" outline="0" showAll="0">
      <items count="7">
        <item x="1"/>
        <item x="2"/>
        <item x="0"/>
        <item x="3"/>
        <item m="1" x="5"/>
        <item x="4"/>
        <item t="default"/>
      </items>
    </pivotField>
    <pivotField compact="0" outline="0" showAll="0"/>
    <pivotField compact="0" outline="0" showAll="0"/>
    <pivotField axis="axisRow" compact="0" outline="0" showAll="0">
      <items count="5">
        <item x="0"/>
        <item m="1" x="2"/>
        <item m="1" x="3"/>
        <item x="1"/>
        <item t="default"/>
      </items>
    </pivotField>
  </pivotFields>
  <rowFields count="1">
    <field x="8"/>
  </rowFields>
  <rowItems count="3">
    <i>
      <x/>
    </i>
    <i>
      <x v="3"/>
    </i>
    <i t="grand">
      <x/>
    </i>
  </rowItems>
  <colFields count="1">
    <field x="5"/>
  </colFields>
  <colItems count="6">
    <i>
      <x/>
    </i>
    <i>
      <x v="1"/>
    </i>
    <i>
      <x v="2"/>
    </i>
    <i>
      <x v="3"/>
    </i>
    <i>
      <x v="5"/>
    </i>
    <i t="grand">
      <x/>
    </i>
  </colItems>
  <pageFields count="2">
    <pageField fld="2" hier="-1"/>
    <pageField fld="3" hier="-1"/>
  </pageFields>
  <dataFields count="1">
    <dataField name="Count of Test Cas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ACFBCE-65A6-450C-B6E1-9E4E80FED209}" name="PivotTable10" cacheId="4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7:R14" firstHeaderRow="1" firstDataRow="2" firstDataCol="1" rowPageCount="2" colPageCount="1"/>
  <pivotFields count="9">
    <pivotField dataField="1" compact="0" outline="0" showAll="0"/>
    <pivotField compact="0" outline="0" showAll="0"/>
    <pivotField axis="axisPage" compact="0" outline="0" showAll="0">
      <items count="10">
        <item m="1" x="4"/>
        <item m="1" x="5"/>
        <item m="1" x="6"/>
        <item m="1" x="7"/>
        <item m="1" x="8"/>
        <item x="0"/>
        <item x="1"/>
        <item x="2"/>
        <item x="3"/>
        <item t="default"/>
      </items>
    </pivotField>
    <pivotField axis="axisPage" compact="0" outline="0" showAll="0">
      <items count="4">
        <item x="1"/>
        <item x="0"/>
        <item x="2"/>
        <item t="default"/>
      </items>
    </pivotField>
    <pivotField compact="0" outline="0" showAll="0"/>
    <pivotField axis="axisCol" compact="0" outline="0" showAll="0">
      <items count="7">
        <item x="1"/>
        <item x="2"/>
        <item x="0"/>
        <item x="3"/>
        <item m="1" x="5"/>
        <item x="4"/>
        <item t="default"/>
      </items>
    </pivotField>
    <pivotField axis="axisRow" compact="0" outline="0" showAll="0">
      <items count="11">
        <item m="1" x="6"/>
        <item m="1" x="8"/>
        <item m="1" x="9"/>
        <item m="1" x="5"/>
        <item m="1" x="7"/>
        <item x="0"/>
        <item x="1"/>
        <item x="2"/>
        <item x="3"/>
        <item x="4"/>
        <item t="default"/>
      </items>
    </pivotField>
    <pivotField compact="0" outline="0" showAll="0"/>
    <pivotField compact="0" outline="0" showAll="0"/>
  </pivotFields>
  <rowFields count="1">
    <field x="6"/>
  </rowFields>
  <rowItems count="6">
    <i>
      <x v="5"/>
    </i>
    <i>
      <x v="6"/>
    </i>
    <i>
      <x v="7"/>
    </i>
    <i>
      <x v="8"/>
    </i>
    <i>
      <x v="9"/>
    </i>
    <i t="grand">
      <x/>
    </i>
  </rowItems>
  <colFields count="1">
    <field x="5"/>
  </colFields>
  <colItems count="6">
    <i>
      <x/>
    </i>
    <i>
      <x v="1"/>
    </i>
    <i>
      <x v="2"/>
    </i>
    <i>
      <x v="3"/>
    </i>
    <i>
      <x v="5"/>
    </i>
    <i t="grand">
      <x/>
    </i>
  </colItems>
  <pageFields count="2">
    <pageField fld="2" hier="-1"/>
    <pageField fld="3" hier="-1"/>
  </pageFields>
  <dataFields count="1">
    <dataField name="Count of Test Cas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7973B8-0B4A-48AF-A1BA-BF67A898F5F9}" name="PivotTable1" cacheId="49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6:I30" firstHeaderRow="1" firstDataRow="2" firstDataCol="1"/>
  <pivotFields count="8">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4">
        <item x="0"/>
        <item x="1"/>
        <item m="1" x="2"/>
        <item t="default"/>
      </items>
    </pivotField>
    <pivotField axis="axisCol" compact="0" outline="0" showAll="0">
      <items count="5">
        <item x="1"/>
        <item x="0"/>
        <item x="3"/>
        <item x="2"/>
        <item t="default"/>
      </items>
    </pivotField>
  </pivotFields>
  <rowFields count="1">
    <field x="6"/>
  </rowFields>
  <rowItems count="3">
    <i>
      <x/>
    </i>
    <i>
      <x v="1"/>
    </i>
    <i t="grand">
      <x/>
    </i>
  </rowItems>
  <colFields count="1">
    <field x="7"/>
  </colFields>
  <colItems count="5">
    <i>
      <x/>
    </i>
    <i>
      <x v="1"/>
    </i>
    <i>
      <x v="2"/>
    </i>
    <i>
      <x v="3"/>
    </i>
    <i t="grand">
      <x/>
    </i>
  </colItems>
  <dataFields count="1">
    <dataField name="Count of Test Case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CF8CE7-498B-446F-BB3E-F76B94D2DC11}" name="Table1" displayName="Table1" ref="A1:K11" totalsRowShown="0" headerRowDxfId="17" dataDxfId="16">
  <autoFilter ref="A1:K11" xr:uid="{E8CF8CE7-498B-446F-BB3E-F76B94D2DC11}"/>
  <tableColumns count="11">
    <tableColumn id="1" xr3:uid="{030940AF-5D07-46BA-AC02-E40BB4321C1A}" name="ID" dataDxfId="15"/>
    <tableColumn id="2" xr3:uid="{A2F7A1CD-A802-4350-A614-15BE0C91A5D5}" name="Tên Yêu cầu (Requirement Name)" dataDxfId="14"/>
    <tableColumn id="3" xr3:uid="{6A649E38-4B4E-41E6-ADBF-B5C2838C0144}" name="Mô tả yêu cầu (Requirement Description)" dataDxfId="13"/>
    <tableColumn id="4" xr3:uid="{C42C158F-B0C4-4AF8-B560-A2C411F68132}" name="Loại Yêu cầu" dataDxfId="12"/>
    <tableColumn id="5" xr3:uid="{D527420B-3F63-47DF-86BC-B5A603E36302}" name="Nguồn tham chiếu" dataDxfId="11"/>
    <tableColumn id="6" xr3:uid="{8AEB4C55-B703-43C5-A404-C8EDBDA8D3F8}" name="Mức độ ưu tiên" dataDxfId="10"/>
    <tableColumn id="7" xr3:uid="{60C6A92D-459D-4F9F-A9D1-F84BBC0312FD}" name="Rủi ro tiềm ẩn (Risks)" dataDxfId="9"/>
    <tableColumn id="8" xr3:uid="{DF12856F-890A-4C1C-9E4A-C132244AD7CB}" name="Trạng thái" dataDxfId="8"/>
    <tableColumn id="9" xr3:uid="{235BBEA9-910A-4AD0-81CA-D14FBEE7AB6E}" name="Người chịu trách nhiệm" dataDxfId="7"/>
    <tableColumn id="10" xr3:uid="{4468EA8D-BCFD-4FDA-A9AE-0C0FBF4D391D}" name="Tiêu chí chấp thuận (Acceptance Criteria)" dataDxfId="6"/>
    <tableColumn id="11" xr3:uid="{D5882EE0-4360-402C-ABC2-12EA678F5CED}" name="Test Case ID"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68235D-C267-4106-92F1-2577594A18A9}" name="Table2" displayName="Table2" ref="A1:N23" totalsRowShown="0" headerRowDxfId="4" headerRowBorderDxfId="2" tableBorderDxfId="3">
  <autoFilter ref="A1:N23" xr:uid="{E768235D-C267-4106-92F1-2577594A18A9}"/>
  <tableColumns count="14">
    <tableColumn id="1" xr3:uid="{B5410499-231A-4A7D-BC96-FB570C2F1999}" name="Scenario ID"/>
    <tableColumn id="2" xr3:uid="{3425E2A4-3949-4C9A-B29C-C55216042A80}" name="Scenario"/>
    <tableColumn id="3" xr3:uid="{C2EAE5B9-B103-4005-BE35-DA5D1E9052F4}" name="Test Case ID"/>
    <tableColumn id="4" xr3:uid="{0C871289-BE6D-4616-8D32-2955CF6B36DB}" name="Test Case Name"/>
    <tableColumn id="5" xr3:uid="{8E9FF7A8-E605-4DD3-AE56-A46BD1D1A7EB}" name="Test Case Description" dataDxfId="1"/>
    <tableColumn id="6" xr3:uid="{F055F109-4F1E-4641-AB39-2F58C7960291}" name="Expected Result" dataDxfId="0"/>
    <tableColumn id="7" xr3:uid="{8CD5372C-498B-4CEC-91C2-C357C8D30D06}" name="Status"/>
    <tableColumn id="8" xr3:uid="{48BADA29-7479-4C4E-BC2E-BF53E23E045B}" name="Owner"/>
    <tableColumn id="9" xr3:uid="{4DD32784-EBDE-4DAC-BC76-77BC8A10650F}" name="Approver(s)"/>
    <tableColumn id="10" xr3:uid="{2B4381BF-338C-4944-BE62-387842C18B6B}" name="Comments"/>
    <tableColumn id="11" xr3:uid="{4D0A9AE9-06DA-43F7-B9A7-C2C3C14E9253}" name="Business Requirement(s)"/>
    <tableColumn id="12" xr3:uid="{514ABBC9-E54F-40C5-9F02-F6B71236BE5C}" name="Module"/>
    <tableColumn id="13" xr3:uid="{ADB20EB5-E804-49AC-A069-809EDEEAAE9A}" name="Priority"/>
    <tableColumn id="14" xr3:uid="{AB07EE6D-7161-4827-9279-5C506E3BA332}" name="Test 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7D4A2F-A2C3-4841-9FDD-0958193F1971}" name="Table3" displayName="Table3" ref="A1:H22" totalsRowShown="0">
  <autoFilter ref="A1:H22" xr:uid="{897D4A2F-A2C3-4841-9FDD-0958193F1971}"/>
  <tableColumns count="8">
    <tableColumn id="1" xr3:uid="{AD67787F-236C-4759-B5EE-9235ED542AA7}" name="Scenario ID">
      <calculatedColumnFormula>Table2[[#This Row],[Scenario ID]]</calculatedColumnFormula>
    </tableColumn>
    <tableColumn id="2" xr3:uid="{D3F38527-2A6D-4FBC-A16C-8AB16158846E}" name="Scenario">
      <calculatedColumnFormula>Table2[[#This Row],[Scenario]]</calculatedColumnFormula>
    </tableColumn>
    <tableColumn id="3" xr3:uid="{CB6A1FB7-E6AA-4EEC-A437-AE9B2CE613F5}" name="Test Case ID">
      <calculatedColumnFormula>Table2[[#This Row],[Test Case ID]]</calculatedColumnFormula>
    </tableColumn>
    <tableColumn id="4" xr3:uid="{E765ED7C-7EB0-4FF2-AA85-77E43140B4FD}" name="Test Case Name">
      <calculatedColumnFormula>Table2[[#This Row],[Test Case Name]]</calculatedColumnFormula>
    </tableColumn>
    <tableColumn id="5" xr3:uid="{F64FF08B-E85D-4112-91DE-EBFF0609C5B9}" name="Test Case Description">
      <calculatedColumnFormula>Table2[[#This Row],[Test Case Description]]</calculatedColumnFormula>
    </tableColumn>
    <tableColumn id="6" xr3:uid="{9C0FF968-4713-44A0-86E3-E0F09AD6553A}" name="Expected Result">
      <calculatedColumnFormula>Table2[[#This Row],[Expected Result]]</calculatedColumnFormula>
    </tableColumn>
    <tableColumn id="7" xr3:uid="{9E82DF2F-752B-4F40-B374-92F1133D1399}" name="Status"/>
    <tableColumn id="8" xr3:uid="{DB906D2B-DC22-4A5C-AB2B-849008A931DE}" name="Module">
      <calculatedColumnFormula>Table2[[#This Row],[Module]]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0E1540-9D3F-4291-870F-FEEC21A40118}" name="Table4" displayName="Table4" ref="J17:K19" totalsRowShown="0">
  <autoFilter ref="J17:K19" xr:uid="{080E1540-9D3F-4291-870F-FEEC21A40118}"/>
  <tableColumns count="2">
    <tableColumn id="1" xr3:uid="{49930C86-2B77-4070-80B1-CD53603487C4}" name="Column1"/>
    <tableColumn id="2" xr3:uid="{32C89BA7-14A1-446F-868B-66BB0AEB1099}" name="Column2">
      <calculatedColumnFormula>COUNTIF(Table3[Status],"Passed")/COUNTA(Table3[Status])*100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C34A-EDFD-4725-BFF1-A7E2A8BBF90D}">
  <dimension ref="A1:J27"/>
  <sheetViews>
    <sheetView workbookViewId="0">
      <selection activeCell="A14" sqref="A14"/>
    </sheetView>
  </sheetViews>
  <sheetFormatPr defaultRowHeight="12.75"/>
  <cols>
    <col min="1" max="1" width="100.28515625" customWidth="1"/>
    <col min="2" max="2" width="27.7109375" customWidth="1"/>
    <col min="10" max="10" width="14.85546875" customWidth="1"/>
  </cols>
  <sheetData>
    <row r="1" spans="1:8">
      <c r="A1" s="20" t="s">
        <v>0</v>
      </c>
      <c r="B1" t="s">
        <v>1</v>
      </c>
      <c r="E1" s="25"/>
    </row>
    <row r="2" spans="1:8" ht="24">
      <c r="A2" s="20" t="s">
        <v>2</v>
      </c>
      <c r="B2" s="9" t="s">
        <v>3</v>
      </c>
      <c r="E2" s="25"/>
      <c r="F2" s="25"/>
    </row>
    <row r="3" spans="1:8">
      <c r="A3" s="20" t="s">
        <v>4</v>
      </c>
      <c r="B3" t="s">
        <v>5</v>
      </c>
    </row>
    <row r="4" spans="1:8">
      <c r="A4" s="20" t="s">
        <v>6</v>
      </c>
      <c r="B4" s="26"/>
    </row>
    <row r="5" spans="1:8">
      <c r="A5" s="20" t="s">
        <v>7</v>
      </c>
    </row>
    <row r="7" spans="1:8">
      <c r="H7" s="25"/>
    </row>
    <row r="8" spans="1:8" ht="24">
      <c r="A8" s="9" t="s">
        <v>8</v>
      </c>
      <c r="H8" s="25"/>
    </row>
    <row r="9" spans="1:8">
      <c r="A9" t="s">
        <v>9</v>
      </c>
      <c r="C9" s="27"/>
      <c r="H9" s="25"/>
    </row>
    <row r="10" spans="1:8" ht="48">
      <c r="A10" s="9" t="s">
        <v>10</v>
      </c>
      <c r="C10" s="27"/>
      <c r="H10" s="25"/>
    </row>
    <row r="11" spans="1:8" ht="24">
      <c r="A11" s="9" t="s">
        <v>11</v>
      </c>
      <c r="C11" s="27"/>
    </row>
    <row r="12" spans="1:8">
      <c r="C12" s="27"/>
    </row>
    <row r="13" spans="1:8">
      <c r="C13" s="27"/>
    </row>
    <row r="14" spans="1:8">
      <c r="C14" s="27"/>
    </row>
    <row r="15" spans="1:8">
      <c r="C15" s="27"/>
    </row>
    <row r="16" spans="1:8" ht="13.5" thickBot="1"/>
    <row r="17" spans="1:10">
      <c r="A17" s="28" t="s">
        <v>12</v>
      </c>
      <c r="B17" s="29"/>
      <c r="C17" s="29"/>
      <c r="D17" s="29"/>
      <c r="E17" s="29"/>
      <c r="F17" s="29"/>
      <c r="G17" s="29"/>
      <c r="H17" s="29"/>
      <c r="I17" s="29"/>
      <c r="J17" s="30"/>
    </row>
    <row r="18" spans="1:10">
      <c r="A18" s="31"/>
      <c r="B18" s="32"/>
      <c r="C18" s="32"/>
      <c r="D18" s="32"/>
      <c r="E18" s="32"/>
      <c r="F18" s="32"/>
      <c r="G18" s="32"/>
      <c r="H18" s="32"/>
      <c r="I18" s="32"/>
      <c r="J18" s="33"/>
    </row>
    <row r="19" spans="1:10">
      <c r="A19" s="31"/>
      <c r="B19" s="32"/>
      <c r="C19" s="32"/>
      <c r="D19" s="32"/>
      <c r="E19" s="32"/>
      <c r="F19" s="32"/>
      <c r="G19" s="32"/>
      <c r="H19" s="32"/>
      <c r="I19" s="32"/>
      <c r="J19" s="33"/>
    </row>
    <row r="20" spans="1:10">
      <c r="A20" s="31"/>
      <c r="B20" s="32"/>
      <c r="C20" s="32"/>
      <c r="D20" s="32"/>
      <c r="E20" s="32"/>
      <c r="F20" s="32"/>
      <c r="G20" s="32"/>
      <c r="H20" s="32"/>
      <c r="I20" s="32"/>
      <c r="J20" s="33"/>
    </row>
    <row r="21" spans="1:10">
      <c r="A21" s="31"/>
      <c r="B21" s="32"/>
      <c r="C21" s="32"/>
      <c r="D21" s="32"/>
      <c r="E21" s="32"/>
      <c r="F21" s="32"/>
      <c r="G21" s="32"/>
      <c r="H21" s="32"/>
      <c r="I21" s="32"/>
      <c r="J21" s="33"/>
    </row>
    <row r="22" spans="1:10">
      <c r="A22" s="31"/>
      <c r="B22" s="32"/>
      <c r="C22" s="32"/>
      <c r="D22" s="32"/>
      <c r="E22" s="32"/>
      <c r="F22" s="32"/>
      <c r="G22" s="32"/>
      <c r="H22" s="32"/>
      <c r="I22" s="32"/>
      <c r="J22" s="33"/>
    </row>
    <row r="23" spans="1:10">
      <c r="A23" s="31"/>
      <c r="B23" s="32"/>
      <c r="C23" s="32"/>
      <c r="D23" s="32"/>
      <c r="E23" s="32"/>
      <c r="F23" s="32"/>
      <c r="G23" s="32"/>
      <c r="H23" s="32"/>
      <c r="I23" s="32"/>
      <c r="J23" s="33"/>
    </row>
    <row r="24" spans="1:10">
      <c r="A24" s="31"/>
      <c r="B24" s="32"/>
      <c r="C24" s="32"/>
      <c r="D24" s="32"/>
      <c r="E24" s="32"/>
      <c r="F24" s="32"/>
      <c r="G24" s="32"/>
      <c r="H24" s="32"/>
      <c r="I24" s="32"/>
      <c r="J24" s="33"/>
    </row>
    <row r="25" spans="1:10">
      <c r="A25" s="31"/>
      <c r="B25" s="32"/>
      <c r="C25" s="32"/>
      <c r="D25" s="32"/>
      <c r="E25" s="32"/>
      <c r="F25" s="32"/>
      <c r="G25" s="32"/>
      <c r="H25" s="32"/>
      <c r="I25" s="32"/>
      <c r="J25" s="33"/>
    </row>
    <row r="26" spans="1:10">
      <c r="A26" s="31"/>
      <c r="B26" s="32"/>
      <c r="C26" s="32"/>
      <c r="D26" s="32"/>
      <c r="E26" s="32"/>
      <c r="F26" s="32"/>
      <c r="G26" s="32"/>
      <c r="H26" s="32"/>
      <c r="I26" s="32"/>
      <c r="J26" s="33"/>
    </row>
    <row r="27" spans="1:10" ht="13.5" thickBot="1">
      <c r="A27" s="34"/>
      <c r="B27" s="35"/>
      <c r="C27" s="35"/>
      <c r="D27" s="35"/>
      <c r="E27" s="35"/>
      <c r="F27" s="35"/>
      <c r="G27" s="35"/>
      <c r="H27" s="35"/>
      <c r="I27" s="35"/>
      <c r="J27" s="36"/>
    </row>
  </sheetData>
  <phoneticPr fontId="2" type="noConversion"/>
  <pageMargins left="0.75" right="0.75" top="1" bottom="1" header="0.5" footer="0.5"/>
  <pageSetup orientation="landscape" verticalDpi="0" r:id="rId1"/>
  <headerFooter alignWithMargins="0">
    <oddHeader>&amp;C&amp;"Arial,Bold"&amp;A</oddHeader>
    <oddFooter>&amp;L&amp;"Arial,Italic"&amp;8&amp;D &amp;T&amp;C&amp;"Arial,Italic"&amp;8&amp;F&amp;R&amp;"Arial,Italic"&amp;8Page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1BDF-155C-4C2D-A5CC-93334AB26B3D}">
  <dimension ref="A1:K11"/>
  <sheetViews>
    <sheetView workbookViewId="0">
      <selection activeCell="E11" sqref="E11"/>
    </sheetView>
  </sheetViews>
  <sheetFormatPr defaultRowHeight="12.75"/>
  <cols>
    <col min="2" max="10" width="11.42578125" bestFit="1" customWidth="1"/>
    <col min="11" max="11" width="25.42578125" customWidth="1"/>
  </cols>
  <sheetData>
    <row r="1" spans="1:11" ht="72">
      <c r="A1" s="9" t="s">
        <v>13</v>
      </c>
      <c r="B1" s="9" t="s">
        <v>14</v>
      </c>
      <c r="C1" s="9" t="s">
        <v>15</v>
      </c>
      <c r="D1" s="9" t="s">
        <v>16</v>
      </c>
      <c r="E1" s="9" t="s">
        <v>17</v>
      </c>
      <c r="F1" s="9" t="s">
        <v>18</v>
      </c>
      <c r="G1" s="9" t="s">
        <v>19</v>
      </c>
      <c r="H1" s="9" t="s">
        <v>20</v>
      </c>
      <c r="I1" s="9" t="s">
        <v>21</v>
      </c>
      <c r="J1" s="9" t="s">
        <v>22</v>
      </c>
      <c r="K1" s="9" t="s">
        <v>23</v>
      </c>
    </row>
    <row r="2" spans="1:11" ht="96">
      <c r="A2" s="9" t="s">
        <v>24</v>
      </c>
      <c r="B2" s="9" t="s">
        <v>25</v>
      </c>
      <c r="C2" s="9" t="s">
        <v>26</v>
      </c>
      <c r="D2" s="9" t="s">
        <v>27</v>
      </c>
      <c r="E2" s="9" t="s">
        <v>28</v>
      </c>
      <c r="F2" s="9" t="s">
        <v>29</v>
      </c>
      <c r="G2" s="9" t="s">
        <v>30</v>
      </c>
      <c r="H2" s="9" t="s">
        <v>31</v>
      </c>
      <c r="I2" s="9" t="s">
        <v>32</v>
      </c>
      <c r="J2" s="9" t="s">
        <v>33</v>
      </c>
      <c r="K2" s="9" t="s">
        <v>34</v>
      </c>
    </row>
    <row r="3" spans="1:11" ht="118.5">
      <c r="A3" s="9" t="s">
        <v>35</v>
      </c>
      <c r="B3" s="9" t="s">
        <v>36</v>
      </c>
      <c r="C3" s="9" t="s">
        <v>37</v>
      </c>
      <c r="D3" s="9" t="s">
        <v>27</v>
      </c>
      <c r="E3" s="9" t="s">
        <v>28</v>
      </c>
      <c r="F3" s="9" t="s">
        <v>29</v>
      </c>
      <c r="G3" s="9" t="s">
        <v>30</v>
      </c>
      <c r="H3" s="9" t="s">
        <v>31</v>
      </c>
      <c r="I3" s="9" t="s">
        <v>32</v>
      </c>
      <c r="J3" s="9" t="s">
        <v>38</v>
      </c>
      <c r="K3" s="9" t="s">
        <v>39</v>
      </c>
    </row>
    <row r="4" spans="1:11" ht="166.5">
      <c r="A4" s="9" t="s">
        <v>40</v>
      </c>
      <c r="B4" s="9" t="s">
        <v>41</v>
      </c>
      <c r="C4" s="9" t="s">
        <v>42</v>
      </c>
      <c r="D4" s="9" t="s">
        <v>27</v>
      </c>
      <c r="E4" s="9" t="s">
        <v>28</v>
      </c>
      <c r="F4" s="9" t="s">
        <v>29</v>
      </c>
      <c r="G4" s="9" t="s">
        <v>43</v>
      </c>
      <c r="H4" s="9" t="s">
        <v>31</v>
      </c>
      <c r="I4" s="9" t="s">
        <v>32</v>
      </c>
      <c r="J4" s="9" t="s">
        <v>44</v>
      </c>
      <c r="K4" s="9" t="s">
        <v>45</v>
      </c>
    </row>
    <row r="5" spans="1:11" ht="226.5">
      <c r="A5" s="9" t="s">
        <v>46</v>
      </c>
      <c r="B5" s="9" t="s">
        <v>47</v>
      </c>
      <c r="C5" s="9" t="s">
        <v>48</v>
      </c>
      <c r="D5" s="9" t="s">
        <v>27</v>
      </c>
      <c r="E5" s="9" t="s">
        <v>28</v>
      </c>
      <c r="F5" s="9" t="s">
        <v>49</v>
      </c>
      <c r="G5" s="9" t="s">
        <v>50</v>
      </c>
      <c r="H5" s="9" t="s">
        <v>31</v>
      </c>
      <c r="I5" s="9" t="s">
        <v>32</v>
      </c>
      <c r="J5" s="9" t="s">
        <v>51</v>
      </c>
      <c r="K5" s="9" t="s">
        <v>52</v>
      </c>
    </row>
    <row r="6" spans="1:11" ht="84">
      <c r="A6" s="9" t="s">
        <v>53</v>
      </c>
      <c r="B6" s="9" t="s">
        <v>54</v>
      </c>
      <c r="C6" s="9" t="s">
        <v>55</v>
      </c>
      <c r="D6" s="9" t="s">
        <v>27</v>
      </c>
      <c r="E6" s="9" t="s">
        <v>28</v>
      </c>
      <c r="F6" s="9" t="s">
        <v>29</v>
      </c>
      <c r="G6" s="9" t="s">
        <v>56</v>
      </c>
      <c r="H6" s="9" t="s">
        <v>31</v>
      </c>
      <c r="I6" s="9" t="s">
        <v>32</v>
      </c>
      <c r="J6" s="9" t="s">
        <v>57</v>
      </c>
      <c r="K6" s="9" t="s">
        <v>58</v>
      </c>
    </row>
    <row r="7" spans="1:11" ht="142.5">
      <c r="A7" s="9" t="s">
        <v>59</v>
      </c>
      <c r="B7" s="9" t="s">
        <v>60</v>
      </c>
      <c r="C7" s="9" t="s">
        <v>61</v>
      </c>
      <c r="D7" s="9" t="s">
        <v>27</v>
      </c>
      <c r="E7" s="9" t="s">
        <v>28</v>
      </c>
      <c r="F7" s="9" t="s">
        <v>49</v>
      </c>
      <c r="G7" s="9" t="s">
        <v>62</v>
      </c>
      <c r="H7" s="9" t="s">
        <v>31</v>
      </c>
      <c r="I7" s="9" t="s">
        <v>32</v>
      </c>
      <c r="J7" s="9" t="s">
        <v>63</v>
      </c>
      <c r="K7" s="9" t="s">
        <v>64</v>
      </c>
    </row>
    <row r="8" spans="1:11" ht="142.5">
      <c r="A8" s="9" t="s">
        <v>65</v>
      </c>
      <c r="B8" s="9" t="s">
        <v>66</v>
      </c>
      <c r="C8" s="9" t="s">
        <v>67</v>
      </c>
      <c r="D8" s="9" t="s">
        <v>27</v>
      </c>
      <c r="E8" s="9" t="s">
        <v>28</v>
      </c>
      <c r="F8" s="9" t="s">
        <v>49</v>
      </c>
      <c r="G8" s="9" t="s">
        <v>68</v>
      </c>
      <c r="H8" s="9" t="s">
        <v>31</v>
      </c>
      <c r="I8" s="9" t="s">
        <v>32</v>
      </c>
      <c r="J8" s="9" t="s">
        <v>69</v>
      </c>
      <c r="K8" s="9" t="s">
        <v>70</v>
      </c>
    </row>
    <row r="9" spans="1:11" ht="118.5">
      <c r="A9" s="9" t="s">
        <v>71</v>
      </c>
      <c r="B9" s="9" t="s">
        <v>72</v>
      </c>
      <c r="C9" s="9" t="s">
        <v>73</v>
      </c>
      <c r="D9" s="9" t="s">
        <v>27</v>
      </c>
      <c r="E9" s="9" t="s">
        <v>28</v>
      </c>
      <c r="F9" s="9" t="s">
        <v>49</v>
      </c>
      <c r="G9" s="9" t="s">
        <v>74</v>
      </c>
      <c r="H9" s="9" t="s">
        <v>31</v>
      </c>
      <c r="I9" s="9" t="s">
        <v>32</v>
      </c>
      <c r="J9" s="9" t="s">
        <v>75</v>
      </c>
      <c r="K9" s="9" t="s">
        <v>76</v>
      </c>
    </row>
    <row r="10" spans="1:11" ht="107.25">
      <c r="A10" s="9" t="s">
        <v>77</v>
      </c>
      <c r="B10" s="9" t="s">
        <v>78</v>
      </c>
      <c r="C10" s="9" t="s">
        <v>79</v>
      </c>
      <c r="D10" s="9" t="s">
        <v>27</v>
      </c>
      <c r="E10" s="9" t="s">
        <v>28</v>
      </c>
      <c r="F10" s="9" t="s">
        <v>49</v>
      </c>
      <c r="G10" s="9" t="s">
        <v>68</v>
      </c>
      <c r="H10" s="9" t="s">
        <v>31</v>
      </c>
      <c r="I10" s="9" t="s">
        <v>32</v>
      </c>
      <c r="J10" s="9" t="s">
        <v>80</v>
      </c>
      <c r="K10" s="9" t="s">
        <v>81</v>
      </c>
    </row>
    <row r="11" spans="1:11" ht="226.5">
      <c r="A11" s="9" t="s">
        <v>82</v>
      </c>
      <c r="B11" s="9" t="s">
        <v>83</v>
      </c>
      <c r="C11" s="9" t="s">
        <v>84</v>
      </c>
      <c r="D11" s="9" t="s">
        <v>27</v>
      </c>
      <c r="E11" s="9" t="s">
        <v>28</v>
      </c>
      <c r="F11" s="9" t="s">
        <v>29</v>
      </c>
      <c r="G11" s="9" t="s">
        <v>68</v>
      </c>
      <c r="H11" s="9" t="s">
        <v>31</v>
      </c>
      <c r="I11" s="9" t="s">
        <v>32</v>
      </c>
      <c r="J11" s="9" t="s">
        <v>85</v>
      </c>
      <c r="K11" s="9" t="s">
        <v>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A583-4124-4703-828A-2D5C71FE77C4}">
  <dimension ref="A1:P79"/>
  <sheetViews>
    <sheetView workbookViewId="0">
      <pane ySplit="1" topLeftCell="A3" activePane="bottomLeft" state="frozen"/>
      <selection pane="bottomLeft" activeCell="D11" sqref="D11"/>
      <selection activeCell="A2" sqref="A2"/>
    </sheetView>
  </sheetViews>
  <sheetFormatPr defaultRowHeight="12.75"/>
  <cols>
    <col min="1" max="1" width="15.140625" customWidth="1"/>
    <col min="2" max="2" width="35.7109375" customWidth="1"/>
    <col min="3" max="3" width="17.7109375" customWidth="1"/>
    <col min="4" max="4" width="53.5703125" customWidth="1"/>
    <col min="5" max="5" width="50.42578125" customWidth="1"/>
    <col min="6" max="6" width="46.5703125" customWidth="1"/>
    <col min="7" max="7" width="16.28515625" customWidth="1"/>
    <col min="8" max="8" width="11.28515625" customWidth="1"/>
    <col min="9" max="9" width="14.42578125" customWidth="1"/>
    <col min="10" max="10" width="21.7109375" customWidth="1"/>
    <col min="11" max="11" width="22.28515625" customWidth="1"/>
    <col min="12" max="12" width="18" customWidth="1"/>
    <col min="13" max="14" width="18.5703125" customWidth="1"/>
  </cols>
  <sheetData>
    <row r="1" spans="1:14" s="1" customFormat="1" ht="24">
      <c r="A1" s="46" t="s">
        <v>87</v>
      </c>
      <c r="B1" s="46" t="s">
        <v>88</v>
      </c>
      <c r="C1" s="46" t="s">
        <v>23</v>
      </c>
      <c r="D1" s="46" t="s">
        <v>89</v>
      </c>
      <c r="E1" s="46" t="s">
        <v>90</v>
      </c>
      <c r="F1" s="46" t="s">
        <v>91</v>
      </c>
      <c r="G1" s="46" t="s">
        <v>92</v>
      </c>
      <c r="H1" s="46" t="s">
        <v>93</v>
      </c>
      <c r="I1" s="46" t="s">
        <v>94</v>
      </c>
      <c r="J1" s="46" t="s">
        <v>95</v>
      </c>
      <c r="K1" s="46" t="s">
        <v>96</v>
      </c>
      <c r="L1" s="46" t="s">
        <v>97</v>
      </c>
      <c r="M1" s="46" t="s">
        <v>98</v>
      </c>
      <c r="N1" s="46" t="s">
        <v>99</v>
      </c>
    </row>
    <row r="2" spans="1:14" ht="48">
      <c r="A2" t="s">
        <v>100</v>
      </c>
      <c r="B2" t="s">
        <v>101</v>
      </c>
      <c r="C2" t="s">
        <v>102</v>
      </c>
      <c r="D2" t="s">
        <v>103</v>
      </c>
      <c r="E2" s="9" t="s">
        <v>104</v>
      </c>
      <c r="F2" t="s">
        <v>105</v>
      </c>
      <c r="G2" t="s">
        <v>106</v>
      </c>
      <c r="H2" t="s">
        <v>1</v>
      </c>
      <c r="I2" t="s">
        <v>107</v>
      </c>
      <c r="J2" t="s">
        <v>108</v>
      </c>
      <c r="K2" t="s">
        <v>24</v>
      </c>
      <c r="L2" t="s">
        <v>109</v>
      </c>
      <c r="M2" t="s">
        <v>110</v>
      </c>
      <c r="N2" t="s">
        <v>111</v>
      </c>
    </row>
    <row r="3" spans="1:14" ht="36">
      <c r="A3" t="s">
        <v>100</v>
      </c>
      <c r="B3" t="s">
        <v>101</v>
      </c>
      <c r="C3" t="s">
        <v>112</v>
      </c>
      <c r="D3" t="s">
        <v>113</v>
      </c>
      <c r="E3" s="9" t="s">
        <v>114</v>
      </c>
      <c r="F3" t="s">
        <v>115</v>
      </c>
      <c r="G3" t="s">
        <v>106</v>
      </c>
      <c r="H3" t="s">
        <v>1</v>
      </c>
      <c r="I3" t="s">
        <v>107</v>
      </c>
      <c r="J3" t="s">
        <v>116</v>
      </c>
      <c r="K3" t="s">
        <v>24</v>
      </c>
      <c r="L3" t="s">
        <v>109</v>
      </c>
      <c r="M3" t="s">
        <v>110</v>
      </c>
      <c r="N3" t="s">
        <v>111</v>
      </c>
    </row>
    <row r="4" spans="1:14" ht="36">
      <c r="A4" t="s">
        <v>100</v>
      </c>
      <c r="B4" t="s">
        <v>101</v>
      </c>
      <c r="C4" t="s">
        <v>117</v>
      </c>
      <c r="D4" t="s">
        <v>118</v>
      </c>
      <c r="E4" s="9" t="s">
        <v>119</v>
      </c>
      <c r="F4" t="s">
        <v>120</v>
      </c>
      <c r="G4" t="s">
        <v>106</v>
      </c>
      <c r="H4" t="s">
        <v>1</v>
      </c>
      <c r="I4" t="s">
        <v>107</v>
      </c>
      <c r="J4" t="s">
        <v>116</v>
      </c>
      <c r="K4" t="s">
        <v>24</v>
      </c>
      <c r="L4" t="s">
        <v>109</v>
      </c>
      <c r="M4" t="s">
        <v>110</v>
      </c>
      <c r="N4" t="s">
        <v>111</v>
      </c>
    </row>
    <row r="5" spans="1:14" ht="36">
      <c r="A5" t="s">
        <v>121</v>
      </c>
      <c r="B5" t="s">
        <v>122</v>
      </c>
      <c r="C5" t="s">
        <v>123</v>
      </c>
      <c r="D5" t="s">
        <v>124</v>
      </c>
      <c r="E5" s="9" t="s">
        <v>125</v>
      </c>
      <c r="F5" s="9" t="s">
        <v>126</v>
      </c>
      <c r="G5" t="s">
        <v>106</v>
      </c>
      <c r="H5" t="s">
        <v>1</v>
      </c>
      <c r="I5" t="s">
        <v>107</v>
      </c>
      <c r="J5" t="s">
        <v>108</v>
      </c>
      <c r="K5" t="s">
        <v>35</v>
      </c>
      <c r="L5" t="s">
        <v>109</v>
      </c>
      <c r="M5" t="s">
        <v>110</v>
      </c>
      <c r="N5" t="s">
        <v>111</v>
      </c>
    </row>
    <row r="6" spans="1:14" ht="36">
      <c r="A6" t="s">
        <v>121</v>
      </c>
      <c r="B6" t="s">
        <v>122</v>
      </c>
      <c r="C6" t="s">
        <v>127</v>
      </c>
      <c r="D6" t="s">
        <v>128</v>
      </c>
      <c r="E6" s="9" t="s">
        <v>129</v>
      </c>
      <c r="F6" t="s">
        <v>130</v>
      </c>
      <c r="G6" t="s">
        <v>106</v>
      </c>
      <c r="H6" t="s">
        <v>1</v>
      </c>
      <c r="I6" t="s">
        <v>107</v>
      </c>
      <c r="J6" t="s">
        <v>116</v>
      </c>
      <c r="K6" t="s">
        <v>35</v>
      </c>
      <c r="L6" t="s">
        <v>109</v>
      </c>
      <c r="M6" t="s">
        <v>110</v>
      </c>
      <c r="N6" t="s">
        <v>111</v>
      </c>
    </row>
    <row r="7" spans="1:14" ht="36">
      <c r="A7" t="s">
        <v>121</v>
      </c>
      <c r="B7" t="s">
        <v>122</v>
      </c>
      <c r="C7" t="s">
        <v>131</v>
      </c>
      <c r="D7" t="s">
        <v>132</v>
      </c>
      <c r="E7" s="9" t="s">
        <v>133</v>
      </c>
      <c r="F7" t="s">
        <v>134</v>
      </c>
      <c r="G7" t="s">
        <v>106</v>
      </c>
      <c r="H7" t="s">
        <v>1</v>
      </c>
      <c r="I7" t="s">
        <v>107</v>
      </c>
      <c r="J7" t="s">
        <v>116</v>
      </c>
      <c r="K7" t="s">
        <v>35</v>
      </c>
      <c r="L7" t="s">
        <v>109</v>
      </c>
      <c r="M7" t="s">
        <v>110</v>
      </c>
      <c r="N7" t="s">
        <v>111</v>
      </c>
    </row>
    <row r="8" spans="1:14" ht="33.75" customHeight="1">
      <c r="A8" t="s">
        <v>135</v>
      </c>
      <c r="B8" t="s">
        <v>136</v>
      </c>
      <c r="C8" t="s">
        <v>137</v>
      </c>
      <c r="D8" t="s">
        <v>138</v>
      </c>
      <c r="E8" s="9" t="s">
        <v>139</v>
      </c>
      <c r="F8" t="s">
        <v>140</v>
      </c>
      <c r="G8" t="s">
        <v>106</v>
      </c>
      <c r="H8" t="s">
        <v>1</v>
      </c>
      <c r="I8" t="s">
        <v>107</v>
      </c>
      <c r="J8" t="s">
        <v>116</v>
      </c>
      <c r="K8" t="s">
        <v>40</v>
      </c>
      <c r="L8" t="s">
        <v>141</v>
      </c>
      <c r="M8" t="s">
        <v>110</v>
      </c>
      <c r="N8" t="s">
        <v>111</v>
      </c>
    </row>
    <row r="9" spans="1:14" ht="29.25" customHeight="1">
      <c r="A9" t="s">
        <v>135</v>
      </c>
      <c r="B9" t="s">
        <v>136</v>
      </c>
      <c r="C9" t="s">
        <v>142</v>
      </c>
      <c r="D9" s="9" t="s">
        <v>143</v>
      </c>
      <c r="E9" s="9" t="s">
        <v>144</v>
      </c>
      <c r="F9" t="s">
        <v>145</v>
      </c>
      <c r="G9" t="s">
        <v>106</v>
      </c>
      <c r="H9" t="s">
        <v>1</v>
      </c>
      <c r="I9" t="s">
        <v>107</v>
      </c>
      <c r="J9" t="s">
        <v>116</v>
      </c>
      <c r="K9" t="s">
        <v>40</v>
      </c>
      <c r="L9" t="s">
        <v>141</v>
      </c>
      <c r="M9" t="s">
        <v>110</v>
      </c>
      <c r="N9" t="s">
        <v>111</v>
      </c>
    </row>
    <row r="10" spans="1:14" ht="37.5" customHeight="1">
      <c r="A10" t="s">
        <v>135</v>
      </c>
      <c r="B10" t="s">
        <v>136</v>
      </c>
      <c r="C10" t="s">
        <v>146</v>
      </c>
      <c r="D10" t="s">
        <v>147</v>
      </c>
      <c r="E10" s="9" t="s">
        <v>148</v>
      </c>
      <c r="F10" t="s">
        <v>149</v>
      </c>
      <c r="G10" t="s">
        <v>106</v>
      </c>
      <c r="H10" t="s">
        <v>1</v>
      </c>
      <c r="I10" t="s">
        <v>107</v>
      </c>
      <c r="J10" t="s">
        <v>108</v>
      </c>
      <c r="K10" t="s">
        <v>40</v>
      </c>
      <c r="L10" t="s">
        <v>141</v>
      </c>
      <c r="M10" t="s">
        <v>110</v>
      </c>
      <c r="N10" t="s">
        <v>111</v>
      </c>
    </row>
    <row r="11" spans="1:14" ht="42.75" customHeight="1">
      <c r="A11" t="s">
        <v>135</v>
      </c>
      <c r="B11" t="s">
        <v>136</v>
      </c>
      <c r="C11" t="s">
        <v>150</v>
      </c>
      <c r="D11" t="s">
        <v>151</v>
      </c>
      <c r="E11" t="s">
        <v>152</v>
      </c>
      <c r="F11" t="s">
        <v>153</v>
      </c>
      <c r="G11" t="s">
        <v>106</v>
      </c>
      <c r="H11" t="s">
        <v>1</v>
      </c>
      <c r="I11" t="s">
        <v>107</v>
      </c>
      <c r="J11" t="s">
        <v>116</v>
      </c>
      <c r="K11" t="s">
        <v>40</v>
      </c>
      <c r="L11" t="s">
        <v>141</v>
      </c>
      <c r="M11" t="s">
        <v>110</v>
      </c>
      <c r="N11" t="s">
        <v>111</v>
      </c>
    </row>
    <row r="12" spans="1:14" ht="191.25" customHeight="1">
      <c r="A12" t="s">
        <v>135</v>
      </c>
      <c r="B12" t="s">
        <v>136</v>
      </c>
      <c r="C12" t="s">
        <v>154</v>
      </c>
      <c r="D12" s="9" t="s">
        <v>155</v>
      </c>
      <c r="E12" s="9" t="s">
        <v>156</v>
      </c>
      <c r="F12" s="9" t="s">
        <v>157</v>
      </c>
      <c r="G12" t="s">
        <v>106</v>
      </c>
      <c r="H12" t="s">
        <v>1</v>
      </c>
      <c r="I12" t="s">
        <v>107</v>
      </c>
      <c r="J12" t="s">
        <v>116</v>
      </c>
      <c r="K12" t="s">
        <v>40</v>
      </c>
      <c r="L12" t="s">
        <v>141</v>
      </c>
      <c r="M12" t="s">
        <v>110</v>
      </c>
      <c r="N12" t="s">
        <v>111</v>
      </c>
    </row>
    <row r="13" spans="1:14" ht="36">
      <c r="A13" t="s">
        <v>158</v>
      </c>
      <c r="B13" t="s">
        <v>47</v>
      </c>
      <c r="C13" t="s">
        <v>52</v>
      </c>
      <c r="D13" t="s">
        <v>159</v>
      </c>
      <c r="E13" s="9" t="s">
        <v>160</v>
      </c>
      <c r="F13" s="9" t="s">
        <v>161</v>
      </c>
      <c r="G13" t="s">
        <v>106</v>
      </c>
      <c r="H13" t="s">
        <v>1</v>
      </c>
      <c r="I13" t="s">
        <v>107</v>
      </c>
      <c r="J13" t="s">
        <v>116</v>
      </c>
      <c r="K13" t="s">
        <v>46</v>
      </c>
      <c r="L13" t="s">
        <v>141</v>
      </c>
      <c r="M13" t="s">
        <v>110</v>
      </c>
      <c r="N13" t="s">
        <v>111</v>
      </c>
    </row>
    <row r="14" spans="1:14" ht="126.75" customHeight="1">
      <c r="A14" t="s">
        <v>162</v>
      </c>
      <c r="B14" t="s">
        <v>163</v>
      </c>
      <c r="C14" t="s">
        <v>164</v>
      </c>
      <c r="D14" t="s">
        <v>54</v>
      </c>
      <c r="E14" s="9" t="s">
        <v>165</v>
      </c>
      <c r="F14" s="9" t="s">
        <v>166</v>
      </c>
      <c r="G14" t="s">
        <v>106</v>
      </c>
      <c r="H14" t="s">
        <v>1</v>
      </c>
      <c r="I14" t="s">
        <v>107</v>
      </c>
      <c r="J14" t="s">
        <v>108</v>
      </c>
      <c r="K14" t="s">
        <v>53</v>
      </c>
      <c r="L14" t="s">
        <v>141</v>
      </c>
      <c r="M14" t="s">
        <v>110</v>
      </c>
      <c r="N14" t="s">
        <v>111</v>
      </c>
    </row>
    <row r="15" spans="1:14" ht="126.75" customHeight="1">
      <c r="A15" t="s">
        <v>162</v>
      </c>
      <c r="B15" t="s">
        <v>163</v>
      </c>
      <c r="C15" t="s">
        <v>167</v>
      </c>
      <c r="D15" s="9" t="s">
        <v>168</v>
      </c>
      <c r="E15" s="9" t="s">
        <v>169</v>
      </c>
      <c r="F15" s="9" t="s">
        <v>170</v>
      </c>
      <c r="G15" t="s">
        <v>106</v>
      </c>
      <c r="H15" t="s">
        <v>1</v>
      </c>
      <c r="I15" t="s">
        <v>107</v>
      </c>
      <c r="J15" t="s">
        <v>116</v>
      </c>
      <c r="K15" t="s">
        <v>53</v>
      </c>
      <c r="L15" t="s">
        <v>141</v>
      </c>
      <c r="M15" t="s">
        <v>110</v>
      </c>
      <c r="N15" t="s">
        <v>111</v>
      </c>
    </row>
    <row r="16" spans="1:14" ht="48">
      <c r="A16" t="s">
        <v>171</v>
      </c>
      <c r="B16" t="s">
        <v>60</v>
      </c>
      <c r="C16" t="s">
        <v>64</v>
      </c>
      <c r="D16" t="s">
        <v>172</v>
      </c>
      <c r="E16" s="9" t="s">
        <v>173</v>
      </c>
      <c r="F16" s="9" t="s">
        <v>174</v>
      </c>
      <c r="G16" t="s">
        <v>106</v>
      </c>
      <c r="H16" t="s">
        <v>1</v>
      </c>
      <c r="I16" t="s">
        <v>107</v>
      </c>
      <c r="J16" t="s">
        <v>108</v>
      </c>
      <c r="K16" t="s">
        <v>59</v>
      </c>
      <c r="L16" t="s">
        <v>141</v>
      </c>
      <c r="M16" t="s">
        <v>110</v>
      </c>
      <c r="N16" t="s">
        <v>111</v>
      </c>
    </row>
    <row r="17" spans="1:14" ht="155.25" customHeight="1">
      <c r="A17" t="s">
        <v>175</v>
      </c>
      <c r="B17" t="s">
        <v>176</v>
      </c>
      <c r="C17" t="s">
        <v>177</v>
      </c>
      <c r="D17" t="s">
        <v>178</v>
      </c>
      <c r="E17" s="9" t="s">
        <v>179</v>
      </c>
      <c r="F17" s="9" t="s">
        <v>180</v>
      </c>
      <c r="G17" t="s">
        <v>106</v>
      </c>
      <c r="H17" t="s">
        <v>1</v>
      </c>
      <c r="I17" t="s">
        <v>107</v>
      </c>
      <c r="J17" t="s">
        <v>116</v>
      </c>
      <c r="K17" t="s">
        <v>65</v>
      </c>
      <c r="L17" t="s">
        <v>181</v>
      </c>
      <c r="M17" t="s">
        <v>110</v>
      </c>
      <c r="N17" t="s">
        <v>111</v>
      </c>
    </row>
    <row r="18" spans="1:14" ht="155.25" customHeight="1">
      <c r="A18" t="s">
        <v>175</v>
      </c>
      <c r="B18" t="s">
        <v>176</v>
      </c>
      <c r="C18" t="s">
        <v>182</v>
      </c>
      <c r="D18" t="s">
        <v>183</v>
      </c>
      <c r="E18" s="9" t="s">
        <v>184</v>
      </c>
      <c r="F18" s="9" t="s">
        <v>185</v>
      </c>
      <c r="G18" t="s">
        <v>106</v>
      </c>
      <c r="H18" t="s">
        <v>1</v>
      </c>
      <c r="I18" t="s">
        <v>107</v>
      </c>
      <c r="J18" t="s">
        <v>116</v>
      </c>
      <c r="K18" t="s">
        <v>65</v>
      </c>
      <c r="L18" t="s">
        <v>181</v>
      </c>
      <c r="M18" t="s">
        <v>110</v>
      </c>
      <c r="N18" t="s">
        <v>111</v>
      </c>
    </row>
    <row r="19" spans="1:14" ht="129.75" customHeight="1">
      <c r="A19" t="s">
        <v>186</v>
      </c>
      <c r="B19" t="s">
        <v>187</v>
      </c>
      <c r="C19" t="s">
        <v>76</v>
      </c>
      <c r="D19" t="s">
        <v>188</v>
      </c>
      <c r="E19" s="9" t="s">
        <v>189</v>
      </c>
      <c r="F19" s="9" t="s">
        <v>190</v>
      </c>
      <c r="G19" t="s">
        <v>106</v>
      </c>
      <c r="H19" t="s">
        <v>1</v>
      </c>
      <c r="I19" t="s">
        <v>107</v>
      </c>
      <c r="J19" t="s">
        <v>116</v>
      </c>
      <c r="K19" t="s">
        <v>71</v>
      </c>
      <c r="L19" t="s">
        <v>181</v>
      </c>
      <c r="M19" t="s">
        <v>110</v>
      </c>
      <c r="N19" t="s">
        <v>111</v>
      </c>
    </row>
    <row r="20" spans="1:14" ht="129.75" customHeight="1">
      <c r="A20" t="s">
        <v>191</v>
      </c>
      <c r="B20" t="s">
        <v>192</v>
      </c>
      <c r="C20" t="s">
        <v>81</v>
      </c>
      <c r="D20" t="s">
        <v>193</v>
      </c>
      <c r="E20" s="9" t="s">
        <v>194</v>
      </c>
      <c r="F20" s="9" t="s">
        <v>195</v>
      </c>
      <c r="G20" t="s">
        <v>106</v>
      </c>
      <c r="H20" t="s">
        <v>1</v>
      </c>
      <c r="I20" t="s">
        <v>107</v>
      </c>
      <c r="J20" t="s">
        <v>116</v>
      </c>
      <c r="K20" t="s">
        <v>77</v>
      </c>
      <c r="L20" t="s">
        <v>181</v>
      </c>
      <c r="M20" t="s">
        <v>110</v>
      </c>
      <c r="N20" t="s">
        <v>111</v>
      </c>
    </row>
    <row r="21" spans="1:14" ht="24">
      <c r="A21" t="s">
        <v>196</v>
      </c>
      <c r="B21" t="s">
        <v>197</v>
      </c>
      <c r="C21" t="s">
        <v>198</v>
      </c>
      <c r="D21" t="s">
        <v>199</v>
      </c>
      <c r="E21" s="9" t="s">
        <v>200</v>
      </c>
      <c r="F21" s="9" t="s">
        <v>201</v>
      </c>
      <c r="G21" t="s">
        <v>106</v>
      </c>
      <c r="H21" t="s">
        <v>1</v>
      </c>
      <c r="I21" t="s">
        <v>107</v>
      </c>
      <c r="J21" t="s">
        <v>116</v>
      </c>
      <c r="K21" t="s">
        <v>82</v>
      </c>
      <c r="L21" t="s">
        <v>202</v>
      </c>
      <c r="M21" t="s">
        <v>110</v>
      </c>
      <c r="N21" t="s">
        <v>111</v>
      </c>
    </row>
    <row r="22" spans="1:14" ht="24">
      <c r="A22" t="s">
        <v>196</v>
      </c>
      <c r="B22" t="s">
        <v>197</v>
      </c>
      <c r="C22" t="s">
        <v>203</v>
      </c>
      <c r="D22" t="s">
        <v>204</v>
      </c>
      <c r="E22" s="9" t="s">
        <v>205</v>
      </c>
      <c r="F22" s="9" t="s">
        <v>206</v>
      </c>
      <c r="G22" t="s">
        <v>106</v>
      </c>
      <c r="H22" t="s">
        <v>1</v>
      </c>
      <c r="I22" t="s">
        <v>107</v>
      </c>
      <c r="J22" t="s">
        <v>116</v>
      </c>
      <c r="K22" t="s">
        <v>82</v>
      </c>
      <c r="L22" t="s">
        <v>202</v>
      </c>
      <c r="M22" t="s">
        <v>110</v>
      </c>
      <c r="N22" t="s">
        <v>111</v>
      </c>
    </row>
    <row r="23" spans="1:14" ht="171.75" customHeight="1">
      <c r="A23" s="47"/>
      <c r="B23" s="47"/>
      <c r="C23" s="47"/>
      <c r="D23" s="47"/>
      <c r="E23" s="47"/>
      <c r="F23" s="47"/>
      <c r="G23" s="48"/>
      <c r="H23" s="48"/>
      <c r="I23" s="48"/>
      <c r="J23" s="47"/>
      <c r="K23" s="48"/>
      <c r="L23" s="47"/>
      <c r="M23" s="48"/>
      <c r="N23" s="48"/>
    </row>
    <row r="24" spans="1:14" ht="177.75" customHeight="1">
      <c r="A24" s="5"/>
      <c r="B24" s="5"/>
      <c r="C24" s="5"/>
      <c r="D24" s="5"/>
      <c r="E24" s="5"/>
      <c r="F24" s="5"/>
      <c r="G24" s="4"/>
      <c r="H24" s="4"/>
      <c r="I24" s="4"/>
      <c r="J24" s="5"/>
      <c r="K24" s="4"/>
      <c r="L24" s="5"/>
      <c r="M24" s="4"/>
      <c r="N24" s="4"/>
    </row>
    <row r="25" spans="1:14" ht="231" customHeight="1">
      <c r="A25" s="5"/>
      <c r="B25" s="5"/>
      <c r="C25" s="5"/>
      <c r="D25" s="5"/>
      <c r="E25" s="5"/>
      <c r="F25" s="5"/>
      <c r="G25" s="4"/>
      <c r="H25" s="4"/>
      <c r="I25" s="4"/>
      <c r="J25" s="5"/>
      <c r="K25" s="4"/>
      <c r="L25" s="5"/>
      <c r="M25" s="4"/>
      <c r="N25" s="4"/>
    </row>
    <row r="26" spans="1:14" ht="114.75" customHeight="1">
      <c r="A26" s="5"/>
      <c r="B26" s="5"/>
      <c r="C26" s="5"/>
      <c r="D26" s="5"/>
      <c r="E26" s="5"/>
      <c r="F26" s="5"/>
      <c r="G26" s="4"/>
      <c r="H26" s="4"/>
      <c r="I26" s="4"/>
      <c r="J26" s="5"/>
      <c r="K26" s="4"/>
      <c r="L26" s="5"/>
      <c r="M26" s="4"/>
      <c r="N26" s="4"/>
    </row>
    <row r="27" spans="1:14" ht="118.5" customHeight="1">
      <c r="A27" s="5"/>
      <c r="B27" s="5"/>
      <c r="C27" s="5"/>
      <c r="D27" s="5"/>
      <c r="E27" s="5"/>
      <c r="F27" s="5"/>
      <c r="G27" s="4"/>
      <c r="H27" s="4"/>
      <c r="I27" s="4"/>
      <c r="J27" s="5"/>
      <c r="K27" s="4"/>
      <c r="L27" s="5"/>
      <c r="M27" s="4"/>
      <c r="N27" s="4"/>
    </row>
    <row r="28" spans="1:14">
      <c r="A28" s="5"/>
      <c r="B28" s="5"/>
      <c r="C28" s="5"/>
      <c r="D28" s="5"/>
      <c r="E28" s="5"/>
      <c r="F28" s="5"/>
      <c r="G28" s="4"/>
      <c r="H28" s="4"/>
      <c r="I28" s="4"/>
      <c r="J28" s="5"/>
      <c r="K28" s="4"/>
      <c r="L28" s="5"/>
      <c r="M28" s="4"/>
      <c r="N28" s="4"/>
    </row>
    <row r="29" spans="1:14">
      <c r="A29" s="5"/>
      <c r="B29" s="5"/>
      <c r="C29" s="5"/>
      <c r="D29" s="5"/>
      <c r="E29" s="5"/>
      <c r="F29" s="5"/>
      <c r="G29" s="4"/>
      <c r="H29" s="4"/>
      <c r="I29" s="4"/>
      <c r="J29" s="5"/>
      <c r="K29" s="4"/>
      <c r="L29" s="5"/>
      <c r="M29" s="4"/>
      <c r="N29" s="4"/>
    </row>
    <row r="30" spans="1:14">
      <c r="A30" s="5"/>
      <c r="B30" s="5"/>
      <c r="C30" s="5"/>
      <c r="D30" s="5"/>
      <c r="E30" s="5"/>
      <c r="F30" s="5"/>
      <c r="G30" s="4"/>
      <c r="H30" s="4"/>
      <c r="I30" s="4"/>
      <c r="J30" s="5"/>
      <c r="K30" s="4"/>
      <c r="L30" s="5"/>
      <c r="M30" s="4"/>
      <c r="N30" s="4"/>
    </row>
    <row r="31" spans="1:14">
      <c r="A31" s="5"/>
      <c r="B31" s="5"/>
      <c r="C31" s="5"/>
      <c r="D31" s="5"/>
      <c r="E31" s="5"/>
      <c r="F31" s="5"/>
      <c r="G31" s="4"/>
      <c r="H31" s="4"/>
      <c r="I31" s="4"/>
      <c r="J31" s="5"/>
      <c r="K31" s="4"/>
      <c r="L31" s="5"/>
      <c r="M31" s="4"/>
      <c r="N31" s="4"/>
    </row>
    <row r="32" spans="1:14">
      <c r="A32" s="5"/>
      <c r="B32" s="5"/>
      <c r="C32" s="5"/>
      <c r="D32" s="5"/>
      <c r="E32" s="5"/>
      <c r="F32" s="5"/>
      <c r="G32" s="4"/>
      <c r="H32" s="4"/>
      <c r="I32" s="4"/>
      <c r="J32" s="5"/>
      <c r="K32" s="4"/>
      <c r="L32" s="5"/>
      <c r="M32" s="4"/>
      <c r="N32" s="4"/>
    </row>
    <row r="33" spans="1:14" ht="126.75" customHeight="1">
      <c r="A33" s="5"/>
      <c r="B33" s="5"/>
      <c r="C33" s="5"/>
      <c r="D33" s="5"/>
      <c r="E33" s="5"/>
      <c r="F33" s="5"/>
      <c r="G33" s="4"/>
      <c r="H33" s="4"/>
      <c r="I33" s="4"/>
      <c r="J33" s="5"/>
      <c r="K33" s="4"/>
      <c r="L33" s="5"/>
      <c r="M33" s="4"/>
      <c r="N33" s="4"/>
    </row>
    <row r="34" spans="1:14">
      <c r="A34" s="5"/>
      <c r="B34" s="5"/>
      <c r="C34" s="5"/>
      <c r="D34" s="5"/>
      <c r="E34" s="5"/>
      <c r="F34" s="5"/>
      <c r="G34" s="4"/>
      <c r="H34" s="4"/>
      <c r="I34" s="4"/>
      <c r="J34" s="5"/>
      <c r="K34" s="4"/>
      <c r="L34" s="5"/>
      <c r="M34" s="4"/>
      <c r="N34" s="4"/>
    </row>
    <row r="35" spans="1:14">
      <c r="A35" s="5"/>
      <c r="B35" s="5"/>
      <c r="C35" s="5"/>
      <c r="D35" s="5"/>
      <c r="E35" s="5"/>
      <c r="F35" s="5"/>
      <c r="G35" s="4"/>
      <c r="H35" s="4"/>
      <c r="I35" s="4"/>
      <c r="J35" s="5"/>
      <c r="K35" s="4"/>
      <c r="L35" s="5"/>
      <c r="M35" s="4"/>
      <c r="N35" s="4"/>
    </row>
    <row r="36" spans="1:14">
      <c r="A36" s="5"/>
      <c r="B36" s="5"/>
      <c r="C36" s="5"/>
      <c r="D36" s="5"/>
      <c r="E36" s="5"/>
      <c r="F36" s="5"/>
      <c r="G36" s="4"/>
      <c r="H36" s="4"/>
      <c r="I36" s="4"/>
      <c r="J36" s="5"/>
      <c r="K36" s="4"/>
      <c r="L36" s="5"/>
      <c r="M36" s="4"/>
      <c r="N36" s="4"/>
    </row>
    <row r="37" spans="1:14">
      <c r="A37" s="5"/>
      <c r="B37" s="5"/>
      <c r="C37" s="5"/>
      <c r="D37" s="5"/>
      <c r="E37" s="5"/>
      <c r="F37" s="5"/>
      <c r="G37" s="4"/>
      <c r="H37" s="4"/>
      <c r="I37" s="4"/>
      <c r="J37" s="5"/>
      <c r="K37" s="4"/>
      <c r="L37" s="5"/>
      <c r="M37" s="4"/>
      <c r="N37" s="4"/>
    </row>
    <row r="38" spans="1:14">
      <c r="A38" s="5"/>
      <c r="B38" s="5"/>
      <c r="C38" s="5"/>
      <c r="D38" s="5"/>
      <c r="E38" s="5"/>
      <c r="F38" s="5"/>
      <c r="G38" s="4"/>
      <c r="H38" s="4"/>
      <c r="I38" s="4"/>
      <c r="J38" s="5"/>
      <c r="K38" s="4"/>
      <c r="L38" s="5"/>
      <c r="M38" s="4"/>
      <c r="N38" s="4"/>
    </row>
    <row r="39" spans="1:14">
      <c r="A39" s="5"/>
      <c r="B39" s="5"/>
      <c r="C39" s="5"/>
      <c r="D39" s="5"/>
      <c r="E39" s="5"/>
      <c r="F39" s="5"/>
      <c r="G39" s="4"/>
      <c r="H39" s="4"/>
      <c r="I39" s="4"/>
      <c r="J39" s="5"/>
      <c r="K39" s="4"/>
      <c r="L39" s="5"/>
      <c r="M39" s="4"/>
      <c r="N39" s="4"/>
    </row>
    <row r="40" spans="1:14">
      <c r="A40" s="5"/>
      <c r="B40" s="5"/>
      <c r="C40" s="5"/>
      <c r="D40" s="5"/>
      <c r="E40" s="5"/>
      <c r="F40" s="5"/>
      <c r="G40" s="4"/>
      <c r="H40" s="4"/>
      <c r="I40" s="4"/>
      <c r="J40" s="5"/>
      <c r="K40" s="4"/>
      <c r="L40" s="5"/>
      <c r="M40" s="4"/>
      <c r="N40" s="4"/>
    </row>
    <row r="41" spans="1:14" ht="93" customHeight="1">
      <c r="A41" s="5"/>
      <c r="B41" s="5"/>
      <c r="C41" s="5"/>
      <c r="D41" s="5"/>
      <c r="E41" s="5"/>
      <c r="F41" s="5"/>
      <c r="G41" s="4"/>
      <c r="H41" s="4"/>
      <c r="I41" s="4"/>
      <c r="J41" s="5"/>
      <c r="K41" s="4"/>
      <c r="L41" s="5"/>
      <c r="M41" s="4"/>
      <c r="N41" s="4"/>
    </row>
    <row r="42" spans="1:14">
      <c r="A42" s="5"/>
      <c r="C42" s="5"/>
      <c r="D42" s="5"/>
      <c r="E42" s="5"/>
      <c r="F42" s="5"/>
      <c r="G42" s="4"/>
      <c r="H42" s="4"/>
      <c r="I42" s="4"/>
      <c r="J42" s="5"/>
      <c r="K42" s="4"/>
      <c r="L42" s="5"/>
      <c r="M42" s="4"/>
      <c r="N42" s="4"/>
    </row>
    <row r="43" spans="1:14">
      <c r="A43" s="5"/>
      <c r="B43" s="5"/>
      <c r="C43" s="5"/>
      <c r="D43" s="5"/>
      <c r="E43" s="5"/>
      <c r="F43" s="5"/>
      <c r="G43" s="4"/>
      <c r="H43" s="4"/>
      <c r="I43" s="4"/>
      <c r="J43" s="5"/>
      <c r="K43" s="4"/>
      <c r="L43" s="5"/>
      <c r="M43" s="4"/>
      <c r="N43" s="4"/>
    </row>
    <row r="44" spans="1:14">
      <c r="A44" s="5"/>
      <c r="B44" s="5"/>
      <c r="C44" s="5"/>
      <c r="D44" s="5"/>
      <c r="E44" s="5"/>
      <c r="F44" s="5"/>
      <c r="G44" s="5"/>
      <c r="H44" s="5"/>
      <c r="I44" s="5"/>
      <c r="J44" s="5"/>
      <c r="K44" s="5"/>
      <c r="L44" s="5"/>
      <c r="M44" s="4"/>
      <c r="N44" s="4"/>
    </row>
    <row r="45" spans="1:14">
      <c r="A45" s="5"/>
      <c r="B45" s="5"/>
      <c r="C45" s="5"/>
      <c r="D45" s="5"/>
      <c r="E45" s="5"/>
      <c r="F45" s="5"/>
      <c r="G45" s="5"/>
      <c r="H45" s="5"/>
      <c r="I45" s="5"/>
      <c r="J45" s="5"/>
      <c r="K45" s="5"/>
      <c r="L45" s="5"/>
      <c r="M45" s="4"/>
      <c r="N45" s="4"/>
    </row>
    <row r="46" spans="1:14">
      <c r="A46" s="5"/>
      <c r="B46" s="5"/>
      <c r="C46" s="5"/>
      <c r="D46" s="5"/>
      <c r="E46" s="5"/>
      <c r="F46" s="5"/>
      <c r="G46" s="5"/>
      <c r="H46" s="5"/>
      <c r="I46" s="5"/>
      <c r="J46" s="5"/>
      <c r="K46" s="5"/>
      <c r="L46" s="5"/>
      <c r="M46" s="4"/>
      <c r="N46" s="4"/>
    </row>
    <row r="47" spans="1:14">
      <c r="A47" s="38"/>
      <c r="B47" s="38"/>
      <c r="C47" s="38"/>
      <c r="D47" s="38"/>
      <c r="E47" s="38"/>
      <c r="F47" s="38"/>
      <c r="G47" s="38"/>
      <c r="H47" s="38"/>
      <c r="I47" s="38"/>
      <c r="J47" s="38"/>
      <c r="K47" s="38"/>
      <c r="L47" s="38"/>
      <c r="M47" s="38"/>
      <c r="N47" s="38"/>
    </row>
    <row r="48" spans="1:14">
      <c r="A48" s="3" t="s">
        <v>207</v>
      </c>
      <c r="B48" s="3"/>
      <c r="C48" s="3"/>
      <c r="D48" s="3" t="s">
        <v>207</v>
      </c>
      <c r="E48" s="3"/>
      <c r="F48" s="3"/>
      <c r="G48" s="3" t="s">
        <v>207</v>
      </c>
      <c r="H48" s="3"/>
      <c r="I48" s="3"/>
      <c r="J48" s="3"/>
      <c r="K48" s="3" t="s">
        <v>207</v>
      </c>
      <c r="L48" s="3"/>
      <c r="M48" s="3"/>
      <c r="N48" s="3"/>
    </row>
    <row r="50" spans="1:16" s="9" customFormat="1" ht="24.75" customHeight="1">
      <c r="A50" s="50" t="s">
        <v>208</v>
      </c>
      <c r="B50" s="50"/>
      <c r="C50" s="50"/>
      <c r="D50" s="50"/>
      <c r="P50" s="10"/>
    </row>
    <row r="51" spans="1:16">
      <c r="A51" s="11" t="s">
        <v>209</v>
      </c>
      <c r="B51" s="12"/>
      <c r="D51" s="17" t="s">
        <v>97</v>
      </c>
      <c r="F51" s="39" t="s">
        <v>210</v>
      </c>
    </row>
    <row r="52" spans="1:16">
      <c r="A52" s="13" t="s">
        <v>211</v>
      </c>
      <c r="B52" s="14"/>
      <c r="D52" s="18" t="s">
        <v>109</v>
      </c>
      <c r="F52" s="40" t="s">
        <v>111</v>
      </c>
    </row>
    <row r="53" spans="1:16">
      <c r="A53" s="13" t="s">
        <v>212</v>
      </c>
      <c r="B53" s="14"/>
      <c r="D53" s="18" t="s">
        <v>141</v>
      </c>
      <c r="F53" s="40" t="s">
        <v>213</v>
      </c>
    </row>
    <row r="54" spans="1:16">
      <c r="A54" s="13" t="s">
        <v>214</v>
      </c>
      <c r="B54" s="14"/>
      <c r="D54" s="18" t="s">
        <v>181</v>
      </c>
      <c r="F54" s="40" t="s">
        <v>215</v>
      </c>
    </row>
    <row r="55" spans="1:16">
      <c r="A55" s="13" t="s">
        <v>216</v>
      </c>
      <c r="B55" s="14"/>
      <c r="D55" s="18" t="s">
        <v>202</v>
      </c>
      <c r="F55" s="40" t="s">
        <v>217</v>
      </c>
    </row>
    <row r="56" spans="1:16">
      <c r="A56" s="13" t="s">
        <v>106</v>
      </c>
      <c r="B56" s="14"/>
      <c r="D56" s="18"/>
      <c r="F56" s="41" t="s">
        <v>218</v>
      </c>
    </row>
    <row r="57" spans="1:16">
      <c r="A57" s="13"/>
      <c r="B57" s="14"/>
    </row>
    <row r="58" spans="1:16">
      <c r="A58" s="13"/>
      <c r="B58" s="14"/>
      <c r="D58" s="18"/>
    </row>
    <row r="59" spans="1:16">
      <c r="A59" s="13"/>
      <c r="B59" s="14"/>
      <c r="D59" s="18"/>
      <c r="F59" s="52" t="s">
        <v>219</v>
      </c>
    </row>
    <row r="60" spans="1:16">
      <c r="A60" s="15"/>
      <c r="B60" s="16"/>
      <c r="D60" s="18"/>
      <c r="F60" s="41">
        <v>3</v>
      </c>
    </row>
    <row r="61" spans="1:16">
      <c r="D61" s="18"/>
    </row>
    <row r="62" spans="1:16">
      <c r="A62" s="11" t="s">
        <v>220</v>
      </c>
      <c r="B62" s="12"/>
      <c r="D62" s="18"/>
    </row>
    <row r="63" spans="1:16">
      <c r="A63" s="13" t="s">
        <v>1</v>
      </c>
      <c r="B63" s="14"/>
      <c r="D63" s="18"/>
    </row>
    <row r="64" spans="1:16">
      <c r="A64" s="13"/>
      <c r="B64" s="14"/>
      <c r="D64" s="19"/>
    </row>
    <row r="65" spans="1:4">
      <c r="A65" s="13"/>
      <c r="B65" s="14"/>
    </row>
    <row r="66" spans="1:4">
      <c r="A66" s="13"/>
      <c r="B66" s="14"/>
      <c r="D66" s="17" t="s">
        <v>98</v>
      </c>
    </row>
    <row r="67" spans="1:4">
      <c r="A67" s="13"/>
      <c r="B67" s="14"/>
      <c r="D67" s="18" t="s">
        <v>110</v>
      </c>
    </row>
    <row r="68" spans="1:4">
      <c r="A68" s="13"/>
      <c r="B68" s="14"/>
      <c r="D68" s="18" t="s">
        <v>221</v>
      </c>
    </row>
    <row r="69" spans="1:4">
      <c r="A69" s="13"/>
      <c r="B69" s="14"/>
      <c r="D69" s="18" t="s">
        <v>222</v>
      </c>
    </row>
    <row r="70" spans="1:4">
      <c r="A70" s="13"/>
      <c r="B70" s="14"/>
      <c r="D70" s="18"/>
    </row>
    <row r="71" spans="1:4">
      <c r="A71" s="13"/>
      <c r="B71" s="14"/>
      <c r="D71" s="18"/>
    </row>
    <row r="72" spans="1:4">
      <c r="A72" s="13"/>
      <c r="B72" s="14"/>
      <c r="D72" s="18"/>
    </row>
    <row r="73" spans="1:4">
      <c r="A73" s="13"/>
      <c r="B73" s="14"/>
      <c r="D73" s="18"/>
    </row>
    <row r="74" spans="1:4">
      <c r="A74" s="13"/>
      <c r="B74" s="14"/>
      <c r="D74" s="18"/>
    </row>
    <row r="75" spans="1:4">
      <c r="A75" s="13"/>
      <c r="B75" s="14"/>
      <c r="D75" s="18"/>
    </row>
    <row r="76" spans="1:4">
      <c r="A76" s="13"/>
      <c r="B76" s="14"/>
      <c r="D76" s="18"/>
    </row>
    <row r="77" spans="1:4">
      <c r="A77" s="13"/>
      <c r="B77" s="14"/>
      <c r="D77" s="18"/>
    </row>
    <row r="78" spans="1:4">
      <c r="A78" s="15"/>
      <c r="B78" s="16"/>
      <c r="D78" s="18"/>
    </row>
    <row r="79" spans="1:4">
      <c r="D79" s="19"/>
    </row>
  </sheetData>
  <mergeCells count="1">
    <mergeCell ref="A50:D50"/>
  </mergeCells>
  <phoneticPr fontId="2" type="noConversion"/>
  <dataValidations count="5">
    <dataValidation type="list" allowBlank="1" showInputMessage="1" showErrorMessage="1" sqref="N2:N47" xr:uid="{4B3239E7-0946-49FF-9D5A-A0644A063642}">
      <formula1>$F$52:$F$56</formula1>
    </dataValidation>
    <dataValidation type="list" allowBlank="1" showInputMessage="1" showErrorMessage="1" sqref="M2:M47" xr:uid="{F9E35CE2-C325-4745-871F-D451CBF9B9E1}">
      <formula1>$D$67:$D$79</formula1>
    </dataValidation>
    <dataValidation type="list" allowBlank="1" showInputMessage="1" showErrorMessage="1" sqref="G2:G47" xr:uid="{EC2C386A-857B-4CF5-95B4-3B581E418D33}">
      <formula1>$A$52:$A$60</formula1>
    </dataValidation>
    <dataValidation type="list" allowBlank="1" showInputMessage="1" showErrorMessage="1" sqref="H2:H47" xr:uid="{85E46F9F-1637-4993-98D3-CAE70AFFBA9A}">
      <formula1>$A$63:$A$78</formula1>
    </dataValidation>
    <dataValidation type="list" allowBlank="1" showInputMessage="1" showErrorMessage="1" sqref="L2:L47" xr:uid="{34BC60F5-F576-40D2-B8E3-A4ABD18ECAAA}">
      <formula1>$D$52:$D$64</formula1>
    </dataValidation>
  </dataValidations>
  <pageMargins left="0.5" right="0.5" top="1" bottom="1" header="0.5" footer="0.5"/>
  <pageSetup scale="90" fitToWidth="2" fitToHeight="0" orientation="landscape" r:id="rId1"/>
  <headerFooter alignWithMargins="0">
    <oddHeader>&amp;C&amp;"Arial,Bold"Test Case Planning and Execution
&amp;A</oddHeader>
    <oddFooter>&amp;L&amp;"Arial,Italic"&amp;8&amp;D &amp;T&amp;C&amp;"Arial,Italic"&amp;8&amp;F&amp;R&amp;"Arial,Italic"&amp;8Page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02C4-080D-47E7-8817-7B359608A840}">
  <dimension ref="A1:H109"/>
  <sheetViews>
    <sheetView workbookViewId="0">
      <pane xSplit="1" ySplit="2" topLeftCell="B8" activePane="bottomRight" state="frozen"/>
      <selection pane="bottomRight" activeCell="B20" sqref="B20"/>
      <selection pane="bottomLeft" activeCell="A3" sqref="A3"/>
      <selection pane="topRight" activeCell="B1" sqref="B1"/>
    </sheetView>
  </sheetViews>
  <sheetFormatPr defaultRowHeight="12.75"/>
  <cols>
    <col min="1" max="1" width="23.42578125" customWidth="1"/>
    <col min="2" max="3" width="50.7109375" customWidth="1"/>
    <col min="5" max="5" width="14.5703125" customWidth="1"/>
    <col min="6" max="6" width="15.85546875" customWidth="1"/>
    <col min="7" max="7" width="14.28515625" customWidth="1"/>
    <col min="8" max="8" width="24" customWidth="1"/>
  </cols>
  <sheetData>
    <row r="1" spans="1:8">
      <c r="A1" s="6"/>
      <c r="B1" s="6"/>
      <c r="C1" s="6"/>
      <c r="D1" s="51" t="s">
        <v>223</v>
      </c>
      <c r="E1" s="51"/>
      <c r="F1" s="51"/>
      <c r="G1" s="6"/>
      <c r="H1" s="6"/>
    </row>
    <row r="2" spans="1:8" ht="24">
      <c r="A2" s="45" t="s">
        <v>23</v>
      </c>
      <c r="B2" s="45" t="s">
        <v>89</v>
      </c>
      <c r="C2" s="45" t="s">
        <v>97</v>
      </c>
      <c r="D2" s="45" t="s">
        <v>224</v>
      </c>
      <c r="E2" s="45" t="s">
        <v>225</v>
      </c>
      <c r="F2" s="45" t="s">
        <v>226</v>
      </c>
      <c r="G2" s="45" t="s">
        <v>227</v>
      </c>
      <c r="H2" s="45" t="s">
        <v>95</v>
      </c>
    </row>
    <row r="3" spans="1:8">
      <c r="A3" s="4" t="str">
        <f>'Test Case List'!C2</f>
        <v>TC01.1</v>
      </c>
      <c r="B3" s="4" t="str">
        <f>'Test Case List'!D2</f>
        <v>Đăng ký hợp lệ</v>
      </c>
      <c r="C3" s="4" t="str">
        <f>'Test Case List'!L2</f>
        <v>Auth</v>
      </c>
      <c r="D3" s="4" t="s">
        <v>228</v>
      </c>
      <c r="E3" s="4" t="s">
        <v>229</v>
      </c>
      <c r="F3" s="4" t="s">
        <v>228</v>
      </c>
      <c r="G3" s="4" t="s">
        <v>1</v>
      </c>
      <c r="H3" s="4"/>
    </row>
    <row r="4" spans="1:8">
      <c r="A4" s="4" t="str">
        <f>'Test Case List'!C3</f>
        <v>TC01.2</v>
      </c>
      <c r="B4" s="4" t="str">
        <f>'Test Case List'!D3</f>
        <v>Đăng ký email trùng với user đã tồn tại trong hệ thống</v>
      </c>
      <c r="C4" s="4" t="str">
        <f>'Test Case List'!L3</f>
        <v>Auth</v>
      </c>
      <c r="D4" s="5" t="s">
        <v>228</v>
      </c>
      <c r="E4" s="4" t="s">
        <v>229</v>
      </c>
      <c r="F4" s="5" t="s">
        <v>229</v>
      </c>
      <c r="G4" s="4" t="s">
        <v>1</v>
      </c>
      <c r="H4" s="5"/>
    </row>
    <row r="5" spans="1:8">
      <c r="A5" s="4" t="str">
        <f>'Test Case List'!C4</f>
        <v>TC01.3</v>
      </c>
      <c r="B5" s="4" t="str">
        <f>'Test Case List'!D4</f>
        <v>Đăng ký bỏ trống trường email hoặc trường password</v>
      </c>
      <c r="C5" s="4" t="str">
        <f>'Test Case List'!L4</f>
        <v>Auth</v>
      </c>
      <c r="D5" s="5" t="s">
        <v>228</v>
      </c>
      <c r="E5" s="4" t="s">
        <v>229</v>
      </c>
      <c r="F5" s="5" t="s">
        <v>229</v>
      </c>
      <c r="G5" s="4" t="s">
        <v>1</v>
      </c>
      <c r="H5" s="5"/>
    </row>
    <row r="6" spans="1:8">
      <c r="A6" s="4" t="str">
        <f>'Test Case List'!C5</f>
        <v>TC02.1</v>
      </c>
      <c r="B6" s="4" t="str">
        <f>'Test Case List'!D5</f>
        <v>Đăng nhập hợp lệ</v>
      </c>
      <c r="C6" s="4" t="str">
        <f>'Test Case List'!L5</f>
        <v>Auth</v>
      </c>
      <c r="D6" s="5" t="s">
        <v>228</v>
      </c>
      <c r="E6" s="5" t="s">
        <v>228</v>
      </c>
      <c r="F6" s="5" t="s">
        <v>228</v>
      </c>
      <c r="G6" s="4" t="s">
        <v>1</v>
      </c>
      <c r="H6" s="5"/>
    </row>
    <row r="7" spans="1:8">
      <c r="A7" s="4" t="str">
        <f>'Test Case List'!C6</f>
        <v>TC02.2</v>
      </c>
      <c r="B7" s="4" t="str">
        <f>'Test Case List'!D6</f>
        <v>Đăng nhập sai pass</v>
      </c>
      <c r="C7" s="4" t="str">
        <f>'Test Case List'!L6</f>
        <v>Auth</v>
      </c>
      <c r="D7" s="5" t="s">
        <v>228</v>
      </c>
      <c r="E7" s="5" t="s">
        <v>228</v>
      </c>
      <c r="F7" s="5" t="s">
        <v>229</v>
      </c>
      <c r="G7" s="4" t="s">
        <v>1</v>
      </c>
      <c r="H7" s="5"/>
    </row>
    <row r="8" spans="1:8">
      <c r="A8" s="4" t="str">
        <f>'Test Case List'!C7</f>
        <v>TC02.3</v>
      </c>
      <c r="B8" s="4" t="str">
        <f>'Test Case List'!D7</f>
        <v>Đăng nhập sai email</v>
      </c>
      <c r="C8" s="4" t="str">
        <f>'Test Case List'!L7</f>
        <v>Auth</v>
      </c>
      <c r="D8" s="5" t="s">
        <v>228</v>
      </c>
      <c r="E8" s="5" t="s">
        <v>228</v>
      </c>
      <c r="F8" s="5" t="s">
        <v>229</v>
      </c>
      <c r="G8" s="4" t="s">
        <v>1</v>
      </c>
      <c r="H8" s="5"/>
    </row>
    <row r="9" spans="1:8">
      <c r="A9" s="4" t="str">
        <f>'Test Case List'!C8</f>
        <v>TC03.1</v>
      </c>
      <c r="B9" s="4" t="str">
        <f>'Test Case List'!D8</f>
        <v>Kiểm tra UI form tạo bài viết có đủ các trường thông tin</v>
      </c>
      <c r="C9" s="4" t="str">
        <f>'Test Case List'!L8</f>
        <v>Article</v>
      </c>
      <c r="D9" s="5" t="s">
        <v>229</v>
      </c>
      <c r="E9" s="5" t="s">
        <v>228</v>
      </c>
      <c r="F9" s="5" t="s">
        <v>228</v>
      </c>
      <c r="G9" s="4" t="s">
        <v>1</v>
      </c>
      <c r="H9" s="5"/>
    </row>
    <row r="10" spans="1:8" ht="24">
      <c r="A10" s="4" t="str">
        <f>'Test Case List'!C9</f>
        <v>TC03.2</v>
      </c>
      <c r="B10" s="4" t="str">
        <f>'Test Case List'!D9</f>
        <v>Kiểm tra khi nhấn nút publish article nhưng bỏ trống các trường bắt buộc</v>
      </c>
      <c r="C10" s="4" t="str">
        <f>'Test Case List'!L9</f>
        <v>Article</v>
      </c>
      <c r="D10" s="5" t="s">
        <v>229</v>
      </c>
      <c r="E10" s="5" t="s">
        <v>228</v>
      </c>
      <c r="F10" s="5" t="s">
        <v>228</v>
      </c>
      <c r="G10" s="4" t="s">
        <v>1</v>
      </c>
      <c r="H10" s="5"/>
    </row>
    <row r="11" spans="1:8">
      <c r="A11" s="4" t="str">
        <f>'Test Case List'!C10</f>
        <v>TC03.3</v>
      </c>
      <c r="B11" s="4" t="str">
        <f>'Test Case List'!D10</f>
        <v>Kiểm tra tạo bài viết với Title đã tồn tại</v>
      </c>
      <c r="C11" s="4" t="str">
        <f>'Test Case List'!L10</f>
        <v>Article</v>
      </c>
      <c r="D11" s="5" t="s">
        <v>229</v>
      </c>
      <c r="E11" s="5" t="s">
        <v>228</v>
      </c>
      <c r="F11" s="5" t="s">
        <v>228</v>
      </c>
      <c r="G11" s="4" t="s">
        <v>1</v>
      </c>
      <c r="H11" s="5"/>
    </row>
    <row r="12" spans="1:8">
      <c r="A12" s="4" t="str">
        <f>'Test Case List'!C11</f>
        <v>TC03.4</v>
      </c>
      <c r="B12" s="4" t="str">
        <f>'Test Case List'!D11</f>
        <v>Kiểm tra số lượng ký tự giới hạn trong các fields</v>
      </c>
      <c r="C12" s="4" t="str">
        <f>'Test Case List'!L11</f>
        <v>Article</v>
      </c>
      <c r="D12" s="5" t="s">
        <v>229</v>
      </c>
      <c r="E12" s="5" t="s">
        <v>228</v>
      </c>
      <c r="F12" s="5" t="s">
        <v>228</v>
      </c>
      <c r="G12" s="4" t="s">
        <v>1</v>
      </c>
      <c r="H12" s="5"/>
    </row>
    <row r="13" spans="1:8" ht="24">
      <c r="A13" s="4" t="str">
        <f>'Test Case List'!C12</f>
        <v>TC03.5</v>
      </c>
      <c r="B13" s="4" t="str">
        <f>'Test Case List'!D12</f>
        <v>Kiểm tra bài viết hiển thị trên Global Feed,  My Article trong User Profile sau khi tạo</v>
      </c>
      <c r="C13" s="4" t="str">
        <f>'Test Case List'!L12</f>
        <v>Article</v>
      </c>
      <c r="D13" s="5" t="s">
        <v>229</v>
      </c>
      <c r="E13" s="5" t="s">
        <v>228</v>
      </c>
      <c r="F13" s="5" t="s">
        <v>228</v>
      </c>
      <c r="G13" s="4" t="s">
        <v>1</v>
      </c>
      <c r="H13" s="5"/>
    </row>
    <row r="14" spans="1:8">
      <c r="A14" s="4" t="str">
        <f>'Test Case List'!C13</f>
        <v>TC04.1</v>
      </c>
      <c r="B14" s="4" t="str">
        <f>'Test Case List'!D13</f>
        <v>Đọc chi tiết bài viết</v>
      </c>
      <c r="C14" s="4" t="str">
        <f>'Test Case List'!L13</f>
        <v>Article</v>
      </c>
      <c r="D14" s="5" t="s">
        <v>229</v>
      </c>
      <c r="E14" s="5" t="s">
        <v>228</v>
      </c>
      <c r="F14" s="5" t="s">
        <v>228</v>
      </c>
      <c r="G14" s="4" t="s">
        <v>1</v>
      </c>
      <c r="H14" s="5"/>
    </row>
    <row r="15" spans="1:8">
      <c r="A15" s="4" t="str">
        <f>'Test Case List'!C14</f>
        <v>TC05.1</v>
      </c>
      <c r="B15" s="4" t="str">
        <f>'Test Case List'!D14</f>
        <v>Cập nhật bài viết</v>
      </c>
      <c r="C15" s="4" t="str">
        <f>'Test Case List'!L14</f>
        <v>Article</v>
      </c>
      <c r="D15" s="5" t="s">
        <v>229</v>
      </c>
      <c r="E15" s="5" t="s">
        <v>228</v>
      </c>
      <c r="F15" s="5" t="s">
        <v>228</v>
      </c>
      <c r="G15" s="4" t="s">
        <v>1</v>
      </c>
      <c r="H15" s="5"/>
    </row>
    <row r="16" spans="1:8" ht="24">
      <c r="A16" s="4" t="str">
        <f>'Test Case List'!C15</f>
        <v>TC05.2</v>
      </c>
      <c r="B16" s="4" t="str">
        <f>'Test Case List'!D15</f>
        <v>Kiểm tra khi sửa bài viết cố ý bỏ trống các trường thông tin bắt buộc</v>
      </c>
      <c r="C16" s="4" t="str">
        <f>'Test Case List'!L15</f>
        <v>Article</v>
      </c>
      <c r="D16" s="5" t="s">
        <v>229</v>
      </c>
      <c r="E16" s="5" t="s">
        <v>228</v>
      </c>
      <c r="F16" s="5" t="s">
        <v>228</v>
      </c>
      <c r="G16" s="4" t="s">
        <v>1</v>
      </c>
      <c r="H16" s="5"/>
    </row>
    <row r="17" spans="1:8">
      <c r="A17" s="4" t="str">
        <f>'Test Case List'!C16</f>
        <v>TC06.1</v>
      </c>
      <c r="B17" s="4" t="str">
        <f>'Test Case List'!D16</f>
        <v>Xóa bài viết thành công</v>
      </c>
      <c r="C17" s="4" t="str">
        <f>'Test Case List'!L16</f>
        <v>Article</v>
      </c>
      <c r="D17" s="5" t="s">
        <v>229</v>
      </c>
      <c r="E17" s="5" t="s">
        <v>228</v>
      </c>
      <c r="F17" s="5" t="s">
        <v>228</v>
      </c>
      <c r="G17" s="4" t="s">
        <v>1</v>
      </c>
      <c r="H17" s="5"/>
    </row>
    <row r="18" spans="1:8">
      <c r="A18" s="4" t="str">
        <f>'Test Case List'!C17</f>
        <v>TC07.1</v>
      </c>
      <c r="B18" s="4" t="str">
        <f>'Test Case List'!D17</f>
        <v>Thêm bình luận mới thành công</v>
      </c>
      <c r="C18" s="4" t="str">
        <f>'Test Case List'!L17</f>
        <v>Social</v>
      </c>
      <c r="D18" s="5" t="s">
        <v>229</v>
      </c>
      <c r="E18" s="5" t="s">
        <v>229</v>
      </c>
      <c r="F18" s="5" t="s">
        <v>228</v>
      </c>
      <c r="G18" s="4" t="s">
        <v>1</v>
      </c>
      <c r="H18" s="5"/>
    </row>
    <row r="19" spans="1:8">
      <c r="A19" s="4" t="str">
        <f>'Test Case List'!C18</f>
        <v>TC07.2</v>
      </c>
      <c r="B19" s="4" t="str">
        <f>'Test Case List'!D18</f>
        <v>Xóa bình luận</v>
      </c>
      <c r="C19" s="4" t="str">
        <f>'Test Case List'!L18</f>
        <v>Social</v>
      </c>
      <c r="D19" s="5" t="s">
        <v>229</v>
      </c>
      <c r="E19" s="5" t="s">
        <v>229</v>
      </c>
      <c r="F19" s="5" t="s">
        <v>228</v>
      </c>
      <c r="G19" s="4" t="s">
        <v>1</v>
      </c>
      <c r="H19" s="5"/>
    </row>
    <row r="20" spans="1:8">
      <c r="A20" s="4" t="str">
        <f>'Test Case List'!C19</f>
        <v>TC08.1</v>
      </c>
      <c r="B20" s="4" t="str">
        <f>'Test Case List'!D19</f>
        <v>Thả tim và bỏ thả tym bài viết</v>
      </c>
      <c r="C20" s="4" t="str">
        <f>'Test Case List'!L19</f>
        <v>Social</v>
      </c>
      <c r="D20" s="5" t="s">
        <v>229</v>
      </c>
      <c r="E20" s="5" t="s">
        <v>229</v>
      </c>
      <c r="F20" s="5" t="s">
        <v>228</v>
      </c>
      <c r="G20" s="4" t="s">
        <v>1</v>
      </c>
      <c r="H20" s="5"/>
    </row>
    <row r="21" spans="1:8">
      <c r="A21" s="4" t="str">
        <f>'Test Case List'!C20</f>
        <v>TC09.1</v>
      </c>
      <c r="B21" s="4" t="str">
        <f>'Test Case List'!D20</f>
        <v xml:space="preserve">Theo dõi tác giả có bài viết hay </v>
      </c>
      <c r="C21" s="4" t="str">
        <f>'Test Case List'!L20</f>
        <v>Social</v>
      </c>
      <c r="D21" s="5" t="s">
        <v>229</v>
      </c>
      <c r="E21" s="5" t="s">
        <v>229</v>
      </c>
      <c r="F21" s="5" t="s">
        <v>228</v>
      </c>
      <c r="G21" s="4" t="s">
        <v>1</v>
      </c>
      <c r="H21" s="5"/>
    </row>
    <row r="22" spans="1:8">
      <c r="A22" s="4" t="str">
        <f>'Test Case List'!C21</f>
        <v>TC10.1</v>
      </c>
      <c r="B22" s="4" t="str">
        <f>'Test Case List'!D21</f>
        <v>Kiểm tra tab My Articles</v>
      </c>
      <c r="C22" s="4" t="str">
        <f>'Test Case List'!L21</f>
        <v>Profile</v>
      </c>
      <c r="D22" s="5" t="s">
        <v>229</v>
      </c>
      <c r="E22" s="5" t="s">
        <v>229</v>
      </c>
      <c r="F22" s="5" t="s">
        <v>228</v>
      </c>
      <c r="G22" s="4" t="s">
        <v>1</v>
      </c>
      <c r="H22" s="5"/>
    </row>
    <row r="23" spans="1:8">
      <c r="A23" s="4" t="str">
        <f>'Test Case List'!C22</f>
        <v>TC10.2</v>
      </c>
      <c r="B23" s="4" t="str">
        <f>'Test Case List'!D22</f>
        <v>Kiểm tra tab Favorited Articles</v>
      </c>
      <c r="C23" s="4" t="str">
        <f>'Test Case List'!L22</f>
        <v>Profile</v>
      </c>
      <c r="D23" s="5" t="s">
        <v>229</v>
      </c>
      <c r="E23" s="5" t="s">
        <v>229</v>
      </c>
      <c r="F23" s="5" t="s">
        <v>228</v>
      </c>
      <c r="G23" s="4" t="s">
        <v>1</v>
      </c>
      <c r="H23" s="5"/>
    </row>
    <row r="24" spans="1:8">
      <c r="A24" s="4"/>
      <c r="B24" s="4"/>
      <c r="C24" s="4"/>
      <c r="D24" s="5"/>
      <c r="E24" s="5"/>
      <c r="F24" s="5"/>
      <c r="G24" s="4"/>
      <c r="H24" s="5"/>
    </row>
    <row r="25" spans="1:8">
      <c r="A25" s="4"/>
      <c r="B25" s="4"/>
      <c r="C25" s="4"/>
      <c r="D25" s="5"/>
      <c r="E25" s="5"/>
      <c r="F25" s="5"/>
      <c r="G25" s="4"/>
      <c r="H25" s="5"/>
    </row>
    <row r="26" spans="1:8">
      <c r="A26" s="4"/>
      <c r="B26" s="4"/>
      <c r="C26" s="4"/>
      <c r="D26" s="5"/>
      <c r="E26" s="5"/>
      <c r="F26" s="5"/>
      <c r="G26" s="4"/>
      <c r="H26" s="5"/>
    </row>
    <row r="27" spans="1:8">
      <c r="A27" s="4"/>
      <c r="B27" s="4"/>
      <c r="C27" s="4"/>
      <c r="D27" s="5"/>
      <c r="E27" s="5"/>
      <c r="F27" s="5"/>
      <c r="G27" s="4"/>
      <c r="H27" s="5"/>
    </row>
    <row r="28" spans="1:8">
      <c r="A28" s="4"/>
      <c r="B28" s="4"/>
      <c r="C28" s="4"/>
      <c r="D28" s="5"/>
      <c r="E28" s="5"/>
      <c r="F28" s="5"/>
      <c r="G28" s="4"/>
      <c r="H28" s="38"/>
    </row>
    <row r="29" spans="1:8">
      <c r="A29" s="4"/>
      <c r="B29" s="4"/>
      <c r="C29" s="4"/>
      <c r="D29" s="5"/>
      <c r="E29" s="5"/>
      <c r="F29" s="5"/>
      <c r="G29" s="4"/>
      <c r="H29" s="38"/>
    </row>
    <row r="30" spans="1:8">
      <c r="A30" s="4"/>
      <c r="B30" s="4"/>
      <c r="C30" s="4"/>
      <c r="D30" s="5"/>
      <c r="E30" s="5"/>
      <c r="F30" s="5"/>
      <c r="G30" s="4"/>
      <c r="H30" s="38"/>
    </row>
    <row r="31" spans="1:8">
      <c r="A31" s="4"/>
      <c r="B31" s="4"/>
      <c r="C31" s="4"/>
      <c r="D31" s="5"/>
      <c r="E31" s="5"/>
      <c r="F31" s="5"/>
      <c r="G31" s="4"/>
      <c r="H31" s="38"/>
    </row>
    <row r="32" spans="1:8">
      <c r="A32" s="4"/>
      <c r="B32" s="4"/>
      <c r="C32" s="4"/>
      <c r="D32" s="5"/>
      <c r="E32" s="5"/>
      <c r="F32" s="5"/>
      <c r="G32" s="4"/>
      <c r="H32" s="38"/>
    </row>
    <row r="33" spans="1:8">
      <c r="A33" s="4"/>
      <c r="B33" s="4"/>
      <c r="C33" s="4"/>
      <c r="D33" s="5"/>
      <c r="E33" s="5"/>
      <c r="F33" s="5"/>
      <c r="G33" s="4"/>
      <c r="H33" s="38"/>
    </row>
    <row r="34" spans="1:8">
      <c r="A34" s="4"/>
      <c r="B34" s="4"/>
      <c r="C34" s="4"/>
      <c r="D34" s="5"/>
      <c r="E34" s="5"/>
      <c r="F34" s="5"/>
      <c r="G34" s="4"/>
      <c r="H34" s="38"/>
    </row>
    <row r="35" spans="1:8">
      <c r="A35" s="4"/>
      <c r="B35" s="4"/>
      <c r="C35" s="4"/>
      <c r="D35" s="5"/>
      <c r="E35" s="5"/>
      <c r="F35" s="5"/>
      <c r="G35" s="4"/>
      <c r="H35" s="38"/>
    </row>
    <row r="36" spans="1:8">
      <c r="A36" s="4"/>
      <c r="B36" s="4"/>
      <c r="C36" s="4"/>
      <c r="D36" s="5"/>
      <c r="E36" s="5"/>
      <c r="F36" s="5"/>
      <c r="G36" s="4"/>
      <c r="H36" s="38"/>
    </row>
    <row r="37" spans="1:8">
      <c r="A37" s="4"/>
      <c r="B37" s="4"/>
      <c r="C37" s="4"/>
      <c r="D37" s="5"/>
      <c r="E37" s="5"/>
      <c r="F37" s="5"/>
      <c r="G37" s="4"/>
      <c r="H37" s="38"/>
    </row>
    <row r="38" spans="1:8">
      <c r="A38" s="4"/>
      <c r="B38" s="4"/>
      <c r="C38" s="4"/>
      <c r="D38" s="5"/>
      <c r="E38" s="5"/>
      <c r="F38" s="5"/>
      <c r="G38" s="4"/>
      <c r="H38" s="38"/>
    </row>
    <row r="39" spans="1:8">
      <c r="A39" s="4"/>
      <c r="B39" s="4"/>
      <c r="C39" s="4"/>
      <c r="D39" s="5"/>
      <c r="E39" s="5"/>
      <c r="F39" s="5"/>
      <c r="G39" s="4"/>
      <c r="H39" s="38"/>
    </row>
    <row r="40" spans="1:8">
      <c r="A40" s="4"/>
      <c r="B40" s="4"/>
      <c r="C40" s="4"/>
      <c r="D40" s="5"/>
      <c r="E40" s="5"/>
      <c r="F40" s="5"/>
      <c r="G40" s="4"/>
      <c r="H40" s="38"/>
    </row>
    <row r="41" spans="1:8">
      <c r="A41" s="38"/>
      <c r="B41" s="38"/>
      <c r="C41" s="38"/>
      <c r="D41" s="38"/>
      <c r="E41" s="38"/>
      <c r="F41" s="38"/>
      <c r="G41" s="4"/>
      <c r="H41" s="38"/>
    </row>
    <row r="42" spans="1:8">
      <c r="A42" s="38"/>
      <c r="B42" s="38"/>
      <c r="C42" s="38"/>
      <c r="D42" s="38"/>
      <c r="E42" s="38"/>
      <c r="F42" s="38"/>
      <c r="G42" s="38"/>
      <c r="H42" s="38"/>
    </row>
    <row r="43" spans="1:8">
      <c r="A43" s="38"/>
      <c r="B43" s="38"/>
      <c r="C43" s="38"/>
      <c r="D43" s="38"/>
      <c r="E43" s="38"/>
      <c r="F43" s="38"/>
      <c r="G43" s="38"/>
      <c r="H43" s="38"/>
    </row>
    <row r="44" spans="1:8">
      <c r="A44" s="38"/>
      <c r="B44" s="38"/>
      <c r="C44" s="38"/>
      <c r="D44" s="38"/>
      <c r="E44" s="38"/>
      <c r="F44" s="38"/>
      <c r="G44" s="38"/>
      <c r="H44" s="38"/>
    </row>
    <row r="45" spans="1:8">
      <c r="A45" s="38"/>
      <c r="B45" s="38"/>
      <c r="C45" s="38"/>
      <c r="D45" s="38"/>
      <c r="E45" s="38"/>
      <c r="F45" s="38"/>
      <c r="G45" s="38"/>
      <c r="H45" s="38"/>
    </row>
    <row r="46" spans="1:8">
      <c r="A46" s="38"/>
      <c r="B46" s="38"/>
      <c r="C46" s="38"/>
      <c r="D46" s="38"/>
      <c r="E46" s="38"/>
      <c r="F46" s="38"/>
      <c r="G46" s="38"/>
      <c r="H46" s="38"/>
    </row>
    <row r="47" spans="1:8">
      <c r="A47" s="38"/>
      <c r="B47" s="38"/>
      <c r="C47" s="38"/>
      <c r="D47" s="38"/>
      <c r="E47" s="38"/>
      <c r="F47" s="38"/>
      <c r="G47" s="38"/>
      <c r="H47" s="38"/>
    </row>
    <row r="48" spans="1:8">
      <c r="A48" s="38"/>
      <c r="B48" s="38"/>
      <c r="C48" s="38"/>
      <c r="D48" s="38"/>
      <c r="E48" s="38"/>
      <c r="F48" s="38"/>
      <c r="G48" s="38"/>
      <c r="H48" s="38"/>
    </row>
    <row r="49" spans="1:8">
      <c r="A49" s="38"/>
      <c r="B49" s="38"/>
      <c r="C49" s="38"/>
      <c r="D49" s="38"/>
      <c r="E49" s="38"/>
      <c r="F49" s="38"/>
      <c r="G49" s="38"/>
      <c r="H49" s="38"/>
    </row>
    <row r="50" spans="1:8">
      <c r="A50" s="38"/>
      <c r="B50" s="38"/>
      <c r="C50" s="38"/>
      <c r="D50" s="38"/>
      <c r="E50" s="38"/>
      <c r="F50" s="38"/>
      <c r="G50" s="38"/>
      <c r="H50" s="38"/>
    </row>
    <row r="51" spans="1:8">
      <c r="A51" s="38"/>
      <c r="B51" s="38"/>
      <c r="C51" s="38"/>
      <c r="D51" s="38"/>
      <c r="E51" s="38"/>
      <c r="F51" s="38"/>
      <c r="G51" s="38"/>
      <c r="H51" s="38"/>
    </row>
    <row r="52" spans="1:8">
      <c r="A52" s="38"/>
      <c r="B52" s="38"/>
      <c r="C52" s="38"/>
      <c r="D52" s="38"/>
      <c r="E52" s="38"/>
      <c r="F52" s="38"/>
      <c r="G52" s="38"/>
      <c r="H52" s="38"/>
    </row>
    <row r="53" spans="1:8">
      <c r="A53" s="38"/>
      <c r="B53" s="38"/>
      <c r="C53" s="38"/>
      <c r="D53" s="38"/>
      <c r="E53" s="38"/>
      <c r="F53" s="38"/>
      <c r="G53" s="38"/>
      <c r="H53" s="38"/>
    </row>
    <row r="54" spans="1:8">
      <c r="A54" s="38"/>
      <c r="B54" s="38"/>
      <c r="C54" s="38"/>
      <c r="D54" s="38"/>
      <c r="E54" s="38"/>
      <c r="F54" s="38"/>
      <c r="G54" s="38"/>
      <c r="H54" s="38"/>
    </row>
    <row r="55" spans="1:8">
      <c r="A55" s="38"/>
      <c r="B55" s="38"/>
      <c r="C55" s="38"/>
      <c r="D55" s="38"/>
      <c r="E55" s="38"/>
      <c r="F55" s="38"/>
      <c r="G55" s="38"/>
      <c r="H55" s="38"/>
    </row>
    <row r="56" spans="1:8">
      <c r="A56" s="38"/>
      <c r="B56" s="38"/>
      <c r="C56" s="38"/>
      <c r="D56" s="38"/>
      <c r="E56" s="38"/>
      <c r="F56" s="38"/>
      <c r="G56" s="38"/>
      <c r="H56" s="38"/>
    </row>
    <row r="57" spans="1:8">
      <c r="A57" s="38"/>
      <c r="B57" s="38"/>
      <c r="C57" s="38"/>
      <c r="D57" s="38"/>
      <c r="E57" s="38"/>
      <c r="F57" s="38"/>
      <c r="G57" s="38"/>
      <c r="H57" s="38"/>
    </row>
    <row r="58" spans="1:8">
      <c r="A58" s="38"/>
      <c r="B58" s="38"/>
      <c r="C58" s="38"/>
      <c r="D58" s="38"/>
      <c r="E58" s="38"/>
      <c r="F58" s="38"/>
      <c r="G58" s="38"/>
      <c r="H58" s="38"/>
    </row>
    <row r="59" spans="1:8">
      <c r="A59" s="38"/>
      <c r="B59" s="38"/>
      <c r="C59" s="38"/>
      <c r="D59" s="38"/>
      <c r="E59" s="38"/>
      <c r="F59" s="38"/>
      <c r="G59" s="38"/>
      <c r="H59" s="38"/>
    </row>
    <row r="60" spans="1:8">
      <c r="A60" s="38"/>
      <c r="B60" s="38"/>
      <c r="C60" s="38"/>
      <c r="D60" s="38"/>
      <c r="E60" s="38"/>
      <c r="F60" s="38"/>
      <c r="G60" s="38"/>
      <c r="H60" s="38"/>
    </row>
    <row r="61" spans="1:8">
      <c r="A61" s="38"/>
      <c r="B61" s="38"/>
      <c r="C61" s="38"/>
      <c r="D61" s="38"/>
      <c r="E61" s="38"/>
      <c r="F61" s="38"/>
      <c r="G61" s="38"/>
      <c r="H61" s="38"/>
    </row>
    <row r="62" spans="1:8">
      <c r="A62" s="38"/>
      <c r="B62" s="38"/>
      <c r="C62" s="38"/>
      <c r="D62" s="38"/>
      <c r="E62" s="38"/>
      <c r="F62" s="38"/>
      <c r="G62" s="38"/>
      <c r="H62" s="38"/>
    </row>
    <row r="63" spans="1:8">
      <c r="A63" s="38"/>
      <c r="B63" s="38"/>
      <c r="C63" s="38"/>
      <c r="D63" s="38"/>
      <c r="E63" s="38"/>
      <c r="F63" s="38"/>
      <c r="G63" s="38"/>
      <c r="H63" s="38"/>
    </row>
    <row r="64" spans="1:8">
      <c r="A64" s="38"/>
      <c r="B64" s="38"/>
      <c r="C64" s="38"/>
      <c r="D64" s="38"/>
      <c r="E64" s="38"/>
      <c r="F64" s="38"/>
      <c r="G64" s="38"/>
      <c r="H64" s="38"/>
    </row>
    <row r="65" spans="1:8">
      <c r="A65" s="38"/>
      <c r="B65" s="38"/>
      <c r="C65" s="38"/>
      <c r="D65" s="38"/>
      <c r="E65" s="38"/>
      <c r="F65" s="38"/>
      <c r="G65" s="38"/>
      <c r="H65" s="38"/>
    </row>
    <row r="66" spans="1:8">
      <c r="A66" s="38"/>
      <c r="B66" s="38"/>
      <c r="C66" s="38"/>
      <c r="D66" s="38"/>
      <c r="E66" s="38"/>
      <c r="F66" s="38"/>
      <c r="G66" s="38"/>
      <c r="H66" s="38"/>
    </row>
    <row r="67" spans="1:8">
      <c r="A67" s="38"/>
      <c r="B67" s="38"/>
      <c r="C67" s="38"/>
      <c r="D67" s="38"/>
      <c r="E67" s="38"/>
      <c r="F67" s="38"/>
      <c r="G67" s="38"/>
      <c r="H67" s="38"/>
    </row>
    <row r="68" spans="1:8">
      <c r="A68" s="38"/>
      <c r="B68" s="38"/>
      <c r="C68" s="38"/>
      <c r="D68" s="38"/>
      <c r="E68" s="38"/>
      <c r="F68" s="38"/>
      <c r="G68" s="38"/>
      <c r="H68" s="38"/>
    </row>
    <row r="69" spans="1:8">
      <c r="A69" s="38"/>
      <c r="B69" s="38"/>
      <c r="C69" s="38"/>
      <c r="D69" s="38"/>
      <c r="E69" s="38"/>
      <c r="F69" s="38"/>
      <c r="G69" s="38"/>
      <c r="H69" s="38"/>
    </row>
    <row r="70" spans="1:8">
      <c r="A70" s="38"/>
      <c r="B70" s="38"/>
      <c r="C70" s="38"/>
      <c r="D70" s="38"/>
      <c r="E70" s="38"/>
      <c r="F70" s="38"/>
      <c r="G70" s="38"/>
      <c r="H70" s="38"/>
    </row>
    <row r="71" spans="1:8">
      <c r="A71" s="38"/>
      <c r="B71" s="38"/>
      <c r="C71" s="38"/>
      <c r="D71" s="38"/>
      <c r="E71" s="38"/>
      <c r="F71" s="38"/>
      <c r="G71" s="38"/>
      <c r="H71" s="38"/>
    </row>
    <row r="72" spans="1:8">
      <c r="A72" s="38"/>
      <c r="B72" s="38"/>
      <c r="C72" s="38"/>
      <c r="D72" s="38"/>
      <c r="E72" s="38"/>
      <c r="F72" s="38"/>
      <c r="G72" s="38"/>
      <c r="H72" s="38"/>
    </row>
    <row r="73" spans="1:8">
      <c r="A73" s="38"/>
      <c r="B73" s="38"/>
      <c r="C73" s="38"/>
      <c r="D73" s="38"/>
      <c r="E73" s="38"/>
      <c r="F73" s="38"/>
      <c r="G73" s="38"/>
      <c r="H73" s="38"/>
    </row>
    <row r="74" spans="1:8">
      <c r="A74" s="38"/>
      <c r="B74" s="38"/>
      <c r="C74" s="38"/>
      <c r="D74" s="38"/>
      <c r="E74" s="38"/>
      <c r="F74" s="38"/>
      <c r="G74" s="38"/>
      <c r="H74" s="38"/>
    </row>
    <row r="75" spans="1:8">
      <c r="A75" s="38"/>
      <c r="B75" s="38"/>
      <c r="C75" s="38"/>
      <c r="D75" s="38"/>
      <c r="E75" s="38"/>
      <c r="F75" s="38"/>
      <c r="G75" s="38"/>
      <c r="H75" s="38"/>
    </row>
    <row r="76" spans="1:8">
      <c r="A76" s="38"/>
      <c r="B76" s="38"/>
      <c r="C76" s="38"/>
      <c r="D76" s="38"/>
      <c r="E76" s="38"/>
      <c r="F76" s="38"/>
      <c r="G76" s="38"/>
      <c r="H76" s="38"/>
    </row>
    <row r="77" spans="1:8">
      <c r="A77" s="38"/>
      <c r="B77" s="38"/>
      <c r="C77" s="38"/>
      <c r="D77" s="38"/>
      <c r="E77" s="38"/>
      <c r="F77" s="38"/>
      <c r="G77" s="38"/>
      <c r="H77" s="38"/>
    </row>
    <row r="78" spans="1:8">
      <c r="A78" s="38"/>
      <c r="B78" s="38"/>
      <c r="C78" s="38"/>
      <c r="D78" s="38"/>
      <c r="E78" s="38"/>
      <c r="F78" s="38"/>
      <c r="G78" s="38"/>
      <c r="H78" s="38"/>
    </row>
    <row r="79" spans="1:8">
      <c r="A79" s="38"/>
      <c r="B79" s="38"/>
      <c r="C79" s="38"/>
      <c r="D79" s="38"/>
      <c r="E79" s="38"/>
      <c r="F79" s="38"/>
      <c r="G79" s="38"/>
      <c r="H79" s="38"/>
    </row>
    <row r="80" spans="1:8">
      <c r="A80" s="38"/>
      <c r="B80" s="38"/>
      <c r="C80" s="38"/>
      <c r="D80" s="38"/>
      <c r="E80" s="38"/>
      <c r="F80" s="38"/>
      <c r="G80" s="38"/>
      <c r="H80" s="38"/>
    </row>
    <row r="81" spans="1:8">
      <c r="A81" s="38"/>
      <c r="B81" s="38"/>
      <c r="C81" s="38"/>
      <c r="D81" s="38"/>
      <c r="E81" s="38"/>
      <c r="F81" s="38"/>
      <c r="G81" s="38"/>
      <c r="H81" s="38"/>
    </row>
    <row r="82" spans="1:8">
      <c r="A82" s="2" t="s">
        <v>230</v>
      </c>
      <c r="B82" s="2"/>
      <c r="C82" s="2"/>
      <c r="D82" s="2" t="s">
        <v>230</v>
      </c>
      <c r="E82" s="2"/>
      <c r="F82" s="2"/>
      <c r="G82" s="2"/>
      <c r="H82" s="2"/>
    </row>
    <row r="84" spans="1:8" ht="26.25" customHeight="1">
      <c r="A84" s="50" t="s">
        <v>208</v>
      </c>
      <c r="B84" s="50"/>
      <c r="C84" s="50"/>
      <c r="D84" s="50"/>
      <c r="E84" s="50"/>
    </row>
    <row r="85" spans="1:8">
      <c r="A85" s="11" t="s">
        <v>231</v>
      </c>
      <c r="B85" s="12"/>
      <c r="C85" s="49"/>
    </row>
    <row r="86" spans="1:8">
      <c r="A86" s="13" t="s">
        <v>232</v>
      </c>
      <c r="B86" s="14"/>
      <c r="C86" s="49"/>
    </row>
    <row r="87" spans="1:8">
      <c r="A87" s="13" t="s">
        <v>228</v>
      </c>
      <c r="B87" s="14"/>
      <c r="C87" s="49"/>
    </row>
    <row r="88" spans="1:8">
      <c r="A88" s="13" t="s">
        <v>229</v>
      </c>
      <c r="B88" s="14"/>
      <c r="C88" s="49"/>
    </row>
    <row r="89" spans="1:8">
      <c r="A89" s="13"/>
      <c r="B89" s="14"/>
      <c r="C89" s="49"/>
    </row>
    <row r="90" spans="1:8">
      <c r="A90" s="13"/>
      <c r="B90" s="14"/>
      <c r="C90" s="49"/>
    </row>
    <row r="91" spans="1:8">
      <c r="A91" s="13"/>
      <c r="B91" s="14"/>
      <c r="C91" s="49"/>
    </row>
    <row r="92" spans="1:8">
      <c r="A92" s="15"/>
      <c r="B92" s="16"/>
      <c r="C92" s="49"/>
    </row>
    <row r="94" spans="1:8">
      <c r="A94" s="11" t="s">
        <v>233</v>
      </c>
      <c r="B94" s="12"/>
      <c r="C94" s="49"/>
    </row>
    <row r="95" spans="1:8">
      <c r="A95" s="13" t="s">
        <v>1</v>
      </c>
      <c r="B95" s="14"/>
      <c r="C95" s="49"/>
    </row>
    <row r="96" spans="1:8">
      <c r="A96" s="13" t="s">
        <v>234</v>
      </c>
      <c r="B96" s="14"/>
      <c r="C96" s="49"/>
    </row>
    <row r="97" spans="1:3">
      <c r="A97" s="13"/>
      <c r="B97" s="14"/>
      <c r="C97" s="49"/>
    </row>
    <row r="98" spans="1:3">
      <c r="A98" s="13"/>
      <c r="B98" s="14"/>
      <c r="C98" s="49"/>
    </row>
    <row r="99" spans="1:3">
      <c r="A99" s="13"/>
      <c r="B99" s="14"/>
      <c r="C99" s="49"/>
    </row>
    <row r="100" spans="1:3">
      <c r="A100" s="13"/>
      <c r="B100" s="14"/>
      <c r="C100" s="49"/>
    </row>
    <row r="101" spans="1:3">
      <c r="A101" s="13"/>
      <c r="B101" s="14"/>
      <c r="C101" s="49"/>
    </row>
    <row r="102" spans="1:3">
      <c r="A102" s="13"/>
      <c r="B102" s="14"/>
      <c r="C102" s="49"/>
    </row>
    <row r="103" spans="1:3">
      <c r="A103" s="13"/>
      <c r="B103" s="14"/>
      <c r="C103" s="49"/>
    </row>
    <row r="104" spans="1:3">
      <c r="A104" s="13"/>
      <c r="B104" s="14"/>
      <c r="C104" s="49"/>
    </row>
    <row r="105" spans="1:3">
      <c r="A105" s="13"/>
      <c r="B105" s="14"/>
      <c r="C105" s="49"/>
    </row>
    <row r="106" spans="1:3">
      <c r="A106" s="13"/>
      <c r="B106" s="14"/>
      <c r="C106" s="49"/>
    </row>
    <row r="107" spans="1:3">
      <c r="A107" s="13"/>
      <c r="B107" s="14"/>
      <c r="C107" s="49"/>
    </row>
    <row r="108" spans="1:3">
      <c r="A108" s="13"/>
      <c r="B108" s="14"/>
      <c r="C108" s="49"/>
    </row>
    <row r="109" spans="1:3">
      <c r="A109" s="15"/>
      <c r="B109" s="16"/>
      <c r="C109" s="49"/>
    </row>
  </sheetData>
  <autoFilter ref="A2:H2" xr:uid="{2421D5C0-832C-4BFD-B4DE-075A4A8AFCAA}"/>
  <mergeCells count="2">
    <mergeCell ref="D1:F1"/>
    <mergeCell ref="A84:E84"/>
  </mergeCells>
  <phoneticPr fontId="2" type="noConversion"/>
  <dataValidations count="2">
    <dataValidation type="list" allowBlank="1" showInputMessage="1" showErrorMessage="1" sqref="D3:F81" xr:uid="{340AB493-7483-49BA-BC0C-DBB50DBA30DB}">
      <formula1>$A$86:$A$92</formula1>
    </dataValidation>
    <dataValidation type="list" allowBlank="1" showInputMessage="1" showErrorMessage="1" sqref="G3:G81" xr:uid="{2D9B2B42-2C4E-4527-ACBE-DC7E80D91707}">
      <formula1>$A$95:$A$109</formula1>
    </dataValidation>
  </dataValidations>
  <pageMargins left="0.5" right="0.5" top="1" bottom="1" header="0.5" footer="0.5"/>
  <pageSetup orientation="landscape" r:id="rId1"/>
  <headerFooter alignWithMargins="0">
    <oddHeader>&amp;C&amp;"Arial,Bold"Test Case Planning and Execution
&amp;A</oddHeader>
    <oddFooter>&amp;L&amp;"Arial,Italic"&amp;8&amp;D &amp;T&amp;C&amp;"Arial,Italic"&amp;8&amp;F&amp;R&amp;"Arial,Italic"&amp;8Page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B2F0-A669-44B4-8158-4B100D76FFB2}">
  <dimension ref="A1:I63"/>
  <sheetViews>
    <sheetView workbookViewId="0">
      <pane xSplit="1" ySplit="1" topLeftCell="B2" activePane="bottomRight" state="frozen"/>
      <selection pane="bottomRight" activeCell="C21" sqref="C21"/>
      <selection pane="bottomLeft" activeCell="A2" sqref="A2"/>
      <selection pane="topRight" activeCell="B1" sqref="B1"/>
    </sheetView>
  </sheetViews>
  <sheetFormatPr defaultRowHeight="12.75"/>
  <cols>
    <col min="1" max="1" width="10.28515625" customWidth="1"/>
    <col min="2" max="3" width="63" customWidth="1"/>
    <col min="4" max="4" width="12.28515625" customWidth="1"/>
    <col min="5" max="5" width="15.85546875" customWidth="1"/>
    <col min="6" max="6" width="18.5703125" customWidth="1"/>
    <col min="7" max="7" width="17.42578125" customWidth="1"/>
    <col min="8" max="8" width="37.140625" customWidth="1"/>
    <col min="9" max="9" width="25.42578125" customWidth="1"/>
  </cols>
  <sheetData>
    <row r="1" spans="1:9" ht="24">
      <c r="A1" s="45" t="s">
        <v>23</v>
      </c>
      <c r="B1" s="45" t="s">
        <v>89</v>
      </c>
      <c r="C1" s="45" t="s">
        <v>97</v>
      </c>
      <c r="D1" s="45" t="s">
        <v>235</v>
      </c>
      <c r="E1" s="45" t="s">
        <v>236</v>
      </c>
      <c r="F1" s="45" t="s">
        <v>92</v>
      </c>
      <c r="G1" s="45" t="s">
        <v>237</v>
      </c>
      <c r="H1" s="45" t="s">
        <v>238</v>
      </c>
      <c r="I1" s="45" t="s">
        <v>95</v>
      </c>
    </row>
    <row r="2" spans="1:9">
      <c r="A2" s="4" t="str">
        <f>'Test Case List'!C2</f>
        <v>TC01.1</v>
      </c>
      <c r="B2" s="4" t="str">
        <f>'Test Case List'!D2</f>
        <v>Đăng ký hợp lệ</v>
      </c>
      <c r="C2" s="4" t="str">
        <f>Table2[[#This Row],[Module]]</f>
        <v>Auth</v>
      </c>
      <c r="D2" s="4" t="str">
        <f>VLOOKUP(A2,'Test Case Coverage Plan'!A3:F27,4,FALSE)</f>
        <v>Yes</v>
      </c>
      <c r="E2" s="4" t="s">
        <v>1</v>
      </c>
      <c r="F2" s="4" t="s">
        <v>239</v>
      </c>
      <c r="G2" s="21"/>
      <c r="H2" s="21"/>
      <c r="I2" s="4"/>
    </row>
    <row r="3" spans="1:9">
      <c r="A3" s="4" t="str">
        <f>'Test Case List'!C3</f>
        <v>TC01.2</v>
      </c>
      <c r="B3" s="4" t="str">
        <f>'Test Case List'!D3</f>
        <v>Đăng ký email trùng với user đã tồn tại trong hệ thống</v>
      </c>
      <c r="C3" s="4" t="str">
        <f>Table2[[#This Row],[Module]]</f>
        <v>Auth</v>
      </c>
      <c r="D3" s="4" t="str">
        <f>VLOOKUP(A3,'Test Case Coverage Plan'!A4:F28,4,FALSE)</f>
        <v>Yes</v>
      </c>
      <c r="E3" s="4" t="s">
        <v>1</v>
      </c>
      <c r="F3" s="4" t="s">
        <v>239</v>
      </c>
      <c r="G3" s="22"/>
      <c r="H3" s="22"/>
      <c r="I3" s="5"/>
    </row>
    <row r="4" spans="1:9">
      <c r="A4" s="4" t="str">
        <f>'Test Case List'!C4</f>
        <v>TC01.3</v>
      </c>
      <c r="B4" s="4" t="str">
        <f>'Test Case List'!D4</f>
        <v>Đăng ký bỏ trống trường email hoặc trường password</v>
      </c>
      <c r="C4" s="4" t="str">
        <f>Table2[[#This Row],[Module]]</f>
        <v>Auth</v>
      </c>
      <c r="D4" s="4" t="str">
        <f>VLOOKUP(A4,'Test Case Coverage Plan'!A5:F29,4,FALSE)</f>
        <v>Yes</v>
      </c>
      <c r="E4" s="4" t="s">
        <v>1</v>
      </c>
      <c r="F4" s="4" t="s">
        <v>239</v>
      </c>
      <c r="G4" s="22"/>
      <c r="H4" s="22"/>
      <c r="I4" s="5"/>
    </row>
    <row r="5" spans="1:9">
      <c r="A5" s="4" t="str">
        <f>'Test Case List'!C5</f>
        <v>TC02.1</v>
      </c>
      <c r="B5" s="4" t="str">
        <f>'Test Case List'!D5</f>
        <v>Đăng nhập hợp lệ</v>
      </c>
      <c r="C5" s="4" t="str">
        <f>Table2[[#This Row],[Module]]</f>
        <v>Auth</v>
      </c>
      <c r="D5" s="4" t="str">
        <f>VLOOKUP(A5,'Test Case Coverage Plan'!A6:F30,4,FALSE)</f>
        <v>Yes</v>
      </c>
      <c r="E5" s="4" t="s">
        <v>1</v>
      </c>
      <c r="F5" s="4" t="s">
        <v>239</v>
      </c>
      <c r="G5" s="22"/>
      <c r="H5" s="22"/>
      <c r="I5" s="5"/>
    </row>
    <row r="6" spans="1:9">
      <c r="A6" s="4" t="str">
        <f>'Test Case List'!C6</f>
        <v>TC02.2</v>
      </c>
      <c r="B6" s="4" t="str">
        <f>'Test Case List'!D6</f>
        <v>Đăng nhập sai pass</v>
      </c>
      <c r="C6" s="4" t="str">
        <f>Table2[[#This Row],[Module]]</f>
        <v>Auth</v>
      </c>
      <c r="D6" s="4" t="str">
        <f>VLOOKUP(A6,'Test Case Coverage Plan'!A7:F31,4,FALSE)</f>
        <v>Yes</v>
      </c>
      <c r="E6" s="4" t="s">
        <v>1</v>
      </c>
      <c r="F6" s="4" t="s">
        <v>239</v>
      </c>
      <c r="G6" s="22"/>
      <c r="H6" s="22"/>
      <c r="I6" s="5"/>
    </row>
    <row r="7" spans="1:9">
      <c r="A7" s="4" t="str">
        <f>'Test Case List'!C7</f>
        <v>TC02.3</v>
      </c>
      <c r="B7" s="4" t="str">
        <f>'Test Case List'!D7</f>
        <v>Đăng nhập sai email</v>
      </c>
      <c r="C7" s="4" t="str">
        <f>Table2[[#This Row],[Module]]</f>
        <v>Auth</v>
      </c>
      <c r="D7" s="4" t="str">
        <f>VLOOKUP(A7,'Test Case Coverage Plan'!A8:F32,4,FALSE)</f>
        <v>Yes</v>
      </c>
      <c r="E7" s="4" t="s">
        <v>1</v>
      </c>
      <c r="F7" s="4" t="s">
        <v>239</v>
      </c>
      <c r="G7" s="22"/>
      <c r="H7" s="22"/>
      <c r="I7" s="5"/>
    </row>
    <row r="8" spans="1:9">
      <c r="A8" s="4" t="str">
        <f>'Test Case List'!C8</f>
        <v>TC03.1</v>
      </c>
      <c r="B8" s="4" t="str">
        <f>'Test Case List'!D8</f>
        <v>Kiểm tra UI form tạo bài viết có đủ các trường thông tin</v>
      </c>
      <c r="C8" s="4" t="str">
        <f>Table2[[#This Row],[Module]]</f>
        <v>Article</v>
      </c>
      <c r="D8" s="4" t="str">
        <f>VLOOKUP(A8,'Test Case Coverage Plan'!A9:F33,4,FALSE)</f>
        <v>No</v>
      </c>
      <c r="E8" s="4" t="s">
        <v>1</v>
      </c>
      <c r="F8" s="4" t="s">
        <v>240</v>
      </c>
      <c r="G8" s="22"/>
      <c r="H8" s="22"/>
      <c r="I8" s="5"/>
    </row>
    <row r="9" spans="1:9">
      <c r="A9" s="4" t="str">
        <f>'Test Case List'!C9</f>
        <v>TC03.2</v>
      </c>
      <c r="B9" s="4" t="str">
        <f>'Test Case List'!D9</f>
        <v>Kiểm tra khi nhấn nút publish article nhưng bỏ trống các trường bắt buộc</v>
      </c>
      <c r="C9" s="4" t="str">
        <f>Table2[[#This Row],[Module]]</f>
        <v>Article</v>
      </c>
      <c r="D9" s="4" t="str">
        <f>VLOOKUP(A9,'Test Case Coverage Plan'!A10:F34,4,FALSE)</f>
        <v>No</v>
      </c>
      <c r="E9" s="4" t="s">
        <v>1</v>
      </c>
      <c r="F9" s="4" t="s">
        <v>240</v>
      </c>
      <c r="G9" s="22"/>
      <c r="H9" s="22"/>
      <c r="I9" s="5"/>
    </row>
    <row r="10" spans="1:9">
      <c r="A10" s="4" t="str">
        <f>'Test Case List'!C10</f>
        <v>TC03.3</v>
      </c>
      <c r="B10" s="4" t="str">
        <f>'Test Case List'!D10</f>
        <v>Kiểm tra tạo bài viết với Title đã tồn tại</v>
      </c>
      <c r="C10" s="4" t="str">
        <f>Table2[[#This Row],[Module]]</f>
        <v>Article</v>
      </c>
      <c r="D10" s="4" t="str">
        <f>VLOOKUP(A10,'Test Case Coverage Plan'!A11:F35,4,FALSE)</f>
        <v>No</v>
      </c>
      <c r="E10" s="4" t="s">
        <v>1</v>
      </c>
      <c r="F10" s="4" t="s">
        <v>240</v>
      </c>
      <c r="G10" s="22"/>
      <c r="H10" s="22"/>
      <c r="I10" s="5"/>
    </row>
    <row r="11" spans="1:9">
      <c r="A11" s="4" t="str">
        <f>'Test Case List'!C11</f>
        <v>TC03.4</v>
      </c>
      <c r="B11" s="4" t="str">
        <f>'Test Case List'!D11</f>
        <v>Kiểm tra số lượng ký tự giới hạn trong các fields</v>
      </c>
      <c r="C11" s="4" t="str">
        <f>Table2[[#This Row],[Module]]</f>
        <v>Article</v>
      </c>
      <c r="D11" s="4" t="str">
        <f>VLOOKUP(A11,'Test Case Coverage Plan'!A12:F36,4,FALSE)</f>
        <v>No</v>
      </c>
      <c r="E11" s="4" t="s">
        <v>1</v>
      </c>
      <c r="F11" s="4" t="s">
        <v>240</v>
      </c>
      <c r="G11" s="22"/>
      <c r="H11" s="22"/>
      <c r="I11" s="5"/>
    </row>
    <row r="12" spans="1:9" ht="24">
      <c r="A12" s="4" t="str">
        <f>'Test Case List'!C12</f>
        <v>TC03.5</v>
      </c>
      <c r="B12" s="4" t="str">
        <f>'Test Case List'!D12</f>
        <v>Kiểm tra bài viết hiển thị trên Global Feed,  My Article trong User Profile sau khi tạo</v>
      </c>
      <c r="C12" s="4" t="str">
        <f>Table2[[#This Row],[Module]]</f>
        <v>Article</v>
      </c>
      <c r="D12" s="4" t="str">
        <f>VLOOKUP(A12,'Test Case Coverage Plan'!A13:F37,4,FALSE)</f>
        <v>No</v>
      </c>
      <c r="E12" s="4" t="s">
        <v>1</v>
      </c>
      <c r="F12" s="4" t="s">
        <v>240</v>
      </c>
      <c r="G12" s="22"/>
      <c r="H12" s="22"/>
      <c r="I12" s="5"/>
    </row>
    <row r="13" spans="1:9">
      <c r="A13" s="4" t="str">
        <f>'Test Case List'!C13</f>
        <v>TC04.1</v>
      </c>
      <c r="B13" s="4" t="str">
        <f>'Test Case List'!D13</f>
        <v>Đọc chi tiết bài viết</v>
      </c>
      <c r="C13" s="4" t="str">
        <f>Table2[[#This Row],[Module]]</f>
        <v>Article</v>
      </c>
      <c r="D13" s="4" t="str">
        <f>VLOOKUP(A13,'Test Case Coverage Plan'!A14:F38,4,FALSE)</f>
        <v>No</v>
      </c>
      <c r="E13" s="4" t="s">
        <v>1</v>
      </c>
      <c r="F13" s="4" t="s">
        <v>240</v>
      </c>
      <c r="G13" s="22"/>
      <c r="H13" s="22"/>
      <c r="I13" s="5"/>
    </row>
    <row r="14" spans="1:9">
      <c r="A14" s="4" t="str">
        <f>'Test Case List'!C14</f>
        <v>TC05.1</v>
      </c>
      <c r="B14" s="4" t="str">
        <f>'Test Case List'!D14</f>
        <v>Cập nhật bài viết</v>
      </c>
      <c r="C14" s="4" t="str">
        <f>Table2[[#This Row],[Module]]</f>
        <v>Article</v>
      </c>
      <c r="D14" s="4" t="str">
        <f>VLOOKUP(A14,'Test Case Coverage Plan'!A15:F39,4,FALSE)</f>
        <v>No</v>
      </c>
      <c r="E14" s="4" t="s">
        <v>1</v>
      </c>
      <c r="F14" s="4" t="s">
        <v>240</v>
      </c>
      <c r="G14" s="22"/>
      <c r="H14" s="22"/>
      <c r="I14" s="5"/>
    </row>
    <row r="15" spans="1:9">
      <c r="A15" s="4" t="str">
        <f>'Test Case List'!C15</f>
        <v>TC05.2</v>
      </c>
      <c r="B15" s="4" t="str">
        <f>'Test Case List'!D15</f>
        <v>Kiểm tra khi sửa bài viết cố ý bỏ trống các trường thông tin bắt buộc</v>
      </c>
      <c r="C15" s="4" t="str">
        <f>Table2[[#This Row],[Module]]</f>
        <v>Article</v>
      </c>
      <c r="D15" s="4" t="str">
        <f>VLOOKUP(A15,'Test Case Coverage Plan'!A16:F40,4,FALSE)</f>
        <v>No</v>
      </c>
      <c r="E15" s="4" t="s">
        <v>1</v>
      </c>
      <c r="F15" s="4" t="s">
        <v>240</v>
      </c>
      <c r="G15" s="22"/>
      <c r="H15" s="22"/>
      <c r="I15" s="5"/>
    </row>
    <row r="16" spans="1:9">
      <c r="A16" s="4" t="str">
        <f>'Test Case List'!C16</f>
        <v>TC06.1</v>
      </c>
      <c r="B16" s="4" t="str">
        <f>'Test Case List'!D16</f>
        <v>Xóa bài viết thành công</v>
      </c>
      <c r="C16" s="4" t="str">
        <f>Table2[[#This Row],[Module]]</f>
        <v>Article</v>
      </c>
      <c r="D16" s="4" t="str">
        <f>VLOOKUP(A16,'Test Case Coverage Plan'!A17:F41,4,FALSE)</f>
        <v>No</v>
      </c>
      <c r="E16" s="4" t="s">
        <v>1</v>
      </c>
      <c r="F16" s="4" t="s">
        <v>240</v>
      </c>
      <c r="G16" s="22"/>
      <c r="H16" s="22"/>
      <c r="I16" s="5"/>
    </row>
    <row r="17" spans="1:9">
      <c r="A17" s="4" t="str">
        <f>'Test Case List'!C17</f>
        <v>TC07.1</v>
      </c>
      <c r="B17" s="4" t="str">
        <f>'Test Case List'!D17</f>
        <v>Thêm bình luận mới thành công</v>
      </c>
      <c r="C17" s="4" t="str">
        <f>Table2[[#This Row],[Module]]</f>
        <v>Social</v>
      </c>
      <c r="D17" s="4" t="str">
        <f>VLOOKUP(A17,'Test Case Coverage Plan'!A18:F42,4,FALSE)</f>
        <v>No</v>
      </c>
      <c r="E17" s="4" t="s">
        <v>1</v>
      </c>
      <c r="F17" s="4" t="s">
        <v>240</v>
      </c>
      <c r="G17" s="22"/>
      <c r="H17" s="22"/>
      <c r="I17" s="5"/>
    </row>
    <row r="18" spans="1:9">
      <c r="A18" s="4" t="str">
        <f>'Test Case List'!C18</f>
        <v>TC07.2</v>
      </c>
      <c r="B18" s="4" t="str">
        <f>'Test Case List'!D18</f>
        <v>Xóa bình luận</v>
      </c>
      <c r="C18" s="4" t="str">
        <f>Table2[[#This Row],[Module]]</f>
        <v>Social</v>
      </c>
      <c r="D18" s="4" t="str">
        <f>VLOOKUP(A18,'Test Case Coverage Plan'!A19:F43,4,FALSE)</f>
        <v>No</v>
      </c>
      <c r="E18" s="4" t="s">
        <v>1</v>
      </c>
      <c r="F18" s="4" t="s">
        <v>240</v>
      </c>
      <c r="G18" s="22"/>
      <c r="H18" s="22"/>
      <c r="I18" s="5"/>
    </row>
    <row r="19" spans="1:9">
      <c r="A19" s="4" t="str">
        <f>'Test Case List'!C19</f>
        <v>TC08.1</v>
      </c>
      <c r="B19" s="4" t="str">
        <f>'Test Case List'!D19</f>
        <v>Thả tim và bỏ thả tym bài viết</v>
      </c>
      <c r="C19" s="4" t="str">
        <f>Table2[[#This Row],[Module]]</f>
        <v>Social</v>
      </c>
      <c r="D19" s="4" t="str">
        <f>VLOOKUP(A19,'Test Case Coverage Plan'!A20:F44,4,FALSE)</f>
        <v>No</v>
      </c>
      <c r="E19" s="4" t="s">
        <v>1</v>
      </c>
      <c r="F19" s="4" t="s">
        <v>240</v>
      </c>
      <c r="G19" s="22"/>
      <c r="H19" s="22"/>
      <c r="I19" s="5"/>
    </row>
    <row r="20" spans="1:9">
      <c r="A20" s="4" t="str">
        <f>'Test Case List'!C20</f>
        <v>TC09.1</v>
      </c>
      <c r="B20" s="4" t="str">
        <f>'Test Case List'!D20</f>
        <v xml:space="preserve">Theo dõi tác giả có bài viết hay </v>
      </c>
      <c r="C20" s="4" t="str">
        <f>Table2[[#This Row],[Module]]</f>
        <v>Social</v>
      </c>
      <c r="D20" s="4" t="str">
        <f>VLOOKUP(A20,'Test Case Coverage Plan'!A21:F45,4,FALSE)</f>
        <v>No</v>
      </c>
      <c r="E20" s="4" t="s">
        <v>1</v>
      </c>
      <c r="F20" s="4" t="s">
        <v>240</v>
      </c>
      <c r="G20" s="22"/>
      <c r="H20" s="22"/>
      <c r="I20" s="5"/>
    </row>
    <row r="21" spans="1:9">
      <c r="A21" s="4" t="str">
        <f>'Test Case List'!C21</f>
        <v>TC10.1</v>
      </c>
      <c r="B21" s="4" t="str">
        <f>'Test Case List'!D21</f>
        <v>Kiểm tra tab My Articles</v>
      </c>
      <c r="C21" s="4" t="str">
        <f>Table2[[#This Row],[Module]]</f>
        <v>Profile</v>
      </c>
      <c r="D21" s="4" t="str">
        <f>VLOOKUP(A21,'Test Case Coverage Plan'!A22:F46,4,FALSE)</f>
        <v>No</v>
      </c>
      <c r="E21" s="4" t="s">
        <v>1</v>
      </c>
      <c r="F21" s="4" t="s">
        <v>240</v>
      </c>
      <c r="G21" s="22"/>
      <c r="H21" s="22"/>
      <c r="I21" s="5"/>
    </row>
    <row r="22" spans="1:9">
      <c r="A22" s="4" t="str">
        <f>'Test Case List'!C22</f>
        <v>TC10.2</v>
      </c>
      <c r="B22" s="4" t="str">
        <f>'Test Case List'!D22</f>
        <v>Kiểm tra tab Favorited Articles</v>
      </c>
      <c r="C22" s="4" t="str">
        <f>Table2[[#This Row],[Module]]</f>
        <v>Profile</v>
      </c>
      <c r="D22" s="4" t="str">
        <f>VLOOKUP(A22,'Test Case Coverage Plan'!A23:F47,4,FALSE)</f>
        <v>No</v>
      </c>
      <c r="E22" s="4" t="s">
        <v>1</v>
      </c>
      <c r="F22" s="5" t="s">
        <v>240</v>
      </c>
      <c r="G22" s="22"/>
      <c r="H22" s="22"/>
      <c r="I22" s="5"/>
    </row>
    <row r="23" spans="1:9">
      <c r="A23" s="4"/>
      <c r="B23" s="4"/>
      <c r="C23" s="4"/>
      <c r="D23" s="4"/>
      <c r="E23" s="4"/>
      <c r="F23" s="5"/>
      <c r="G23" s="22"/>
      <c r="H23" s="22"/>
      <c r="I23" s="5"/>
    </row>
    <row r="24" spans="1:9">
      <c r="A24" s="4"/>
      <c r="B24" s="4"/>
      <c r="C24" s="4"/>
      <c r="D24" s="4"/>
      <c r="E24" s="4"/>
      <c r="F24" s="5"/>
      <c r="G24" s="22"/>
      <c r="H24" s="22"/>
      <c r="I24" s="5"/>
    </row>
    <row r="25" spans="1:9">
      <c r="A25" s="4"/>
      <c r="B25" s="4"/>
      <c r="C25" s="4"/>
      <c r="D25" s="4"/>
      <c r="E25" s="4"/>
      <c r="F25" s="5"/>
      <c r="G25" s="22"/>
      <c r="H25" s="22"/>
      <c r="I25" s="5"/>
    </row>
    <row r="26" spans="1:9">
      <c r="A26" s="4"/>
      <c r="B26" s="4"/>
      <c r="C26" s="4"/>
      <c r="D26" s="4"/>
      <c r="E26" s="4"/>
      <c r="F26" s="5"/>
      <c r="G26" s="22"/>
      <c r="H26" s="22"/>
      <c r="I26" s="5"/>
    </row>
    <row r="27" spans="1:9">
      <c r="A27" s="4"/>
      <c r="B27" s="4"/>
      <c r="C27" s="4"/>
      <c r="D27" s="4"/>
      <c r="E27" s="4"/>
      <c r="F27" s="5"/>
      <c r="G27" s="42"/>
      <c r="H27" s="42"/>
      <c r="I27" s="38"/>
    </row>
    <row r="28" spans="1:9">
      <c r="A28" s="4"/>
      <c r="B28" s="4"/>
      <c r="C28" s="4"/>
      <c r="D28" s="4"/>
      <c r="E28" s="4"/>
      <c r="F28" s="5"/>
      <c r="G28" s="42"/>
      <c r="H28" s="42"/>
      <c r="I28" s="38"/>
    </row>
    <row r="29" spans="1:9">
      <c r="A29" s="4"/>
      <c r="B29" s="4"/>
      <c r="C29" s="4"/>
      <c r="D29" s="4"/>
      <c r="E29" s="4"/>
      <c r="F29" s="5"/>
      <c r="G29" s="42"/>
      <c r="H29" s="42"/>
      <c r="I29" s="38"/>
    </row>
    <row r="30" spans="1:9">
      <c r="A30" s="4"/>
      <c r="B30" s="4"/>
      <c r="C30" s="4"/>
      <c r="D30" s="4"/>
      <c r="E30" s="4"/>
      <c r="F30" s="5"/>
      <c r="G30" s="42"/>
      <c r="H30" s="42"/>
      <c r="I30" s="38"/>
    </row>
    <row r="31" spans="1:9">
      <c r="A31" s="4"/>
      <c r="B31" s="4"/>
      <c r="C31" s="4"/>
      <c r="D31" s="4"/>
      <c r="E31" s="4"/>
      <c r="F31" s="5"/>
      <c r="G31" s="42"/>
      <c r="H31" s="42"/>
      <c r="I31" s="38"/>
    </row>
    <row r="32" spans="1:9">
      <c r="A32" s="4"/>
      <c r="B32" s="4"/>
      <c r="C32" s="4"/>
      <c r="D32" s="4"/>
      <c r="E32" s="4"/>
      <c r="F32" s="5"/>
      <c r="G32" s="42"/>
      <c r="H32" s="42"/>
      <c r="I32" s="38"/>
    </row>
    <row r="33" spans="1:9">
      <c r="A33" s="4"/>
      <c r="B33" s="4"/>
      <c r="C33" s="4"/>
      <c r="D33" s="4"/>
      <c r="E33" s="4"/>
      <c r="F33" s="5"/>
      <c r="G33" s="42"/>
      <c r="H33" s="42"/>
      <c r="I33" s="38"/>
    </row>
    <row r="34" spans="1:9">
      <c r="A34" s="4"/>
      <c r="B34" s="4"/>
      <c r="C34" s="4"/>
      <c r="D34" s="4"/>
      <c r="E34" s="4"/>
      <c r="F34" s="5"/>
      <c r="G34" s="42"/>
      <c r="H34" s="42"/>
      <c r="I34" s="38"/>
    </row>
    <row r="35" spans="1:9">
      <c r="A35" s="4"/>
      <c r="B35" s="4"/>
      <c r="C35" s="4"/>
      <c r="D35" s="4"/>
      <c r="E35" s="4"/>
      <c r="F35" s="5"/>
      <c r="G35" s="42"/>
      <c r="H35" s="42"/>
      <c r="I35" s="38"/>
    </row>
    <row r="36" spans="1:9">
      <c r="A36" s="4"/>
      <c r="B36" s="4"/>
      <c r="C36" s="4"/>
      <c r="D36" s="4"/>
      <c r="E36" s="4"/>
      <c r="F36" s="5"/>
      <c r="G36" s="42"/>
      <c r="H36" s="42"/>
      <c r="I36" s="38"/>
    </row>
    <row r="37" spans="1:9">
      <c r="A37" s="4"/>
      <c r="B37" s="4"/>
      <c r="C37" s="4"/>
      <c r="D37" s="4"/>
      <c r="E37" s="4"/>
      <c r="F37" s="5"/>
      <c r="G37" s="42"/>
      <c r="H37" s="42"/>
      <c r="I37" s="38"/>
    </row>
    <row r="38" spans="1:9">
      <c r="A38" s="4"/>
      <c r="B38" s="4"/>
      <c r="C38" s="4"/>
      <c r="D38" s="4"/>
      <c r="E38" s="4"/>
      <c r="F38" s="5"/>
      <c r="G38" s="42"/>
      <c r="H38" s="42"/>
      <c r="I38" s="38"/>
    </row>
    <row r="39" spans="1:9">
      <c r="A39" s="4"/>
      <c r="B39" s="4"/>
      <c r="C39" s="4"/>
      <c r="D39" s="4"/>
      <c r="E39" s="4"/>
      <c r="F39" s="5"/>
      <c r="G39" s="42"/>
      <c r="H39" s="42"/>
      <c r="I39" s="38"/>
    </row>
    <row r="40" spans="1:9">
      <c r="A40" s="38"/>
      <c r="B40" s="4"/>
      <c r="C40" s="38"/>
      <c r="D40" s="38"/>
      <c r="E40" s="38"/>
      <c r="F40" s="38"/>
      <c r="G40" s="42"/>
      <c r="H40" s="42"/>
      <c r="I40" s="38"/>
    </row>
    <row r="41" spans="1:9">
      <c r="A41" s="38"/>
      <c r="B41" s="4"/>
      <c r="C41" s="38"/>
      <c r="D41" s="38"/>
      <c r="E41" s="38"/>
      <c r="F41" s="38"/>
      <c r="G41" s="42"/>
      <c r="H41" s="42"/>
      <c r="I41" s="38"/>
    </row>
    <row r="42" spans="1:9">
      <c r="A42" s="38"/>
      <c r="B42" s="38"/>
      <c r="C42" s="38"/>
      <c r="D42" s="38"/>
      <c r="E42" s="38"/>
      <c r="F42" s="38"/>
      <c r="G42" s="42"/>
      <c r="H42" s="42"/>
      <c r="I42" s="38"/>
    </row>
    <row r="43" spans="1:9">
      <c r="A43" s="38"/>
      <c r="B43" s="38"/>
      <c r="C43" s="38"/>
      <c r="D43" s="38"/>
      <c r="E43" s="38"/>
      <c r="F43" s="38"/>
      <c r="G43" s="42"/>
      <c r="H43" s="42"/>
      <c r="I43" s="38"/>
    </row>
    <row r="44" spans="1:9">
      <c r="A44" s="38"/>
      <c r="B44" s="38"/>
      <c r="C44" s="38"/>
      <c r="D44" s="38"/>
      <c r="E44" s="38"/>
      <c r="F44" s="38"/>
      <c r="G44" s="42"/>
      <c r="H44" s="42"/>
      <c r="I44" s="38"/>
    </row>
    <row r="45" spans="1:9">
      <c r="A45" s="8" t="s">
        <v>241</v>
      </c>
      <c r="B45" s="7"/>
      <c r="C45" s="7"/>
      <c r="D45" s="7"/>
      <c r="E45" s="8" t="s">
        <v>241</v>
      </c>
      <c r="F45" s="7"/>
      <c r="G45" s="7"/>
      <c r="H45" s="7"/>
      <c r="I45" s="7"/>
    </row>
    <row r="47" spans="1:9" ht="25.5" customHeight="1">
      <c r="A47" s="50" t="s">
        <v>208</v>
      </c>
      <c r="B47" s="50"/>
      <c r="C47" s="50"/>
      <c r="D47" s="50"/>
      <c r="E47" s="50"/>
    </row>
    <row r="48" spans="1:9">
      <c r="A48" s="11" t="s">
        <v>236</v>
      </c>
      <c r="B48" s="12"/>
      <c r="C48" s="49"/>
      <c r="E48" s="11" t="s">
        <v>209</v>
      </c>
      <c r="F48" s="12"/>
      <c r="H48" s="11" t="s">
        <v>242</v>
      </c>
      <c r="I48" s="12"/>
    </row>
    <row r="49" spans="1:9">
      <c r="A49" s="13" t="s">
        <v>1</v>
      </c>
      <c r="B49" s="14"/>
      <c r="C49" s="49"/>
      <c r="E49" s="13" t="s">
        <v>243</v>
      </c>
      <c r="F49" s="14"/>
      <c r="H49" s="43" t="s">
        <v>224</v>
      </c>
      <c r="I49" s="16"/>
    </row>
    <row r="50" spans="1:9">
      <c r="A50" s="13" t="s">
        <v>234</v>
      </c>
      <c r="B50" s="14"/>
      <c r="C50" s="49"/>
      <c r="E50" s="13" t="s">
        <v>244</v>
      </c>
      <c r="F50" s="14"/>
    </row>
    <row r="51" spans="1:9">
      <c r="A51" s="13"/>
      <c r="B51" s="14"/>
      <c r="C51" s="49"/>
      <c r="E51" s="13" t="s">
        <v>240</v>
      </c>
      <c r="F51" s="14"/>
    </row>
    <row r="52" spans="1:9">
      <c r="A52" s="13"/>
      <c r="B52" s="14"/>
      <c r="C52" s="49"/>
      <c r="E52" s="13" t="s">
        <v>212</v>
      </c>
      <c r="F52" s="14"/>
    </row>
    <row r="53" spans="1:9">
      <c r="A53" s="13"/>
      <c r="B53" s="14"/>
      <c r="C53" s="49"/>
      <c r="E53" s="13" t="s">
        <v>239</v>
      </c>
      <c r="F53" s="14"/>
    </row>
    <row r="54" spans="1:9">
      <c r="A54" s="13"/>
      <c r="B54" s="14"/>
      <c r="C54" s="49"/>
      <c r="E54" s="13" t="s">
        <v>245</v>
      </c>
      <c r="F54" s="14"/>
    </row>
    <row r="55" spans="1:9">
      <c r="A55" s="13"/>
      <c r="B55" s="14"/>
      <c r="C55" s="49"/>
      <c r="E55" s="13"/>
      <c r="F55" s="14"/>
    </row>
    <row r="56" spans="1:9">
      <c r="A56" s="13"/>
      <c r="B56" s="14"/>
      <c r="C56" s="49"/>
      <c r="E56" s="13"/>
      <c r="F56" s="14"/>
    </row>
    <row r="57" spans="1:9">
      <c r="A57" s="13"/>
      <c r="B57" s="14"/>
      <c r="C57" s="49"/>
      <c r="E57" s="15"/>
      <c r="F57" s="16"/>
    </row>
    <row r="58" spans="1:9">
      <c r="A58" s="13"/>
      <c r="B58" s="14"/>
      <c r="C58" s="49"/>
    </row>
    <row r="59" spans="1:9">
      <c r="A59" s="13"/>
      <c r="B59" s="14"/>
      <c r="C59" s="49"/>
    </row>
    <row r="60" spans="1:9">
      <c r="A60" s="13"/>
      <c r="B60" s="14"/>
      <c r="C60" s="49"/>
    </row>
    <row r="61" spans="1:9">
      <c r="A61" s="13"/>
      <c r="B61" s="14"/>
      <c r="C61" s="49"/>
    </row>
    <row r="62" spans="1:9">
      <c r="A62" s="13"/>
      <c r="B62" s="14"/>
      <c r="C62" s="49"/>
    </row>
    <row r="63" spans="1:9">
      <c r="A63" s="15"/>
      <c r="B63" s="16"/>
      <c r="C63" s="49"/>
    </row>
  </sheetData>
  <autoFilter ref="A1:I45" xr:uid="{FD112B36-77FB-4088-AE42-64939AF21A93}"/>
  <mergeCells count="1">
    <mergeCell ref="A47:E47"/>
  </mergeCells>
  <phoneticPr fontId="2" type="noConversion"/>
  <dataValidations count="2">
    <dataValidation type="list" allowBlank="1" showInputMessage="1" showErrorMessage="1" sqref="E2:E44" xr:uid="{CD63AD46-DDBB-472A-83A6-CE1BD3A2D165}">
      <formula1>$A$49:$A$63</formula1>
    </dataValidation>
    <dataValidation type="list" allowBlank="1" showInputMessage="1" showErrorMessage="1" sqref="F2:F44" xr:uid="{8DF5D8AB-EF11-4ADB-AB3D-DD6BCF73420E}">
      <formula1>$E$49:$E$57</formula1>
    </dataValidation>
  </dataValidations>
  <pageMargins left="0.5" right="0.5" top="1" bottom="1" header="0.5" footer="0.5"/>
  <pageSetup orientation="landscape" r:id="rId1"/>
  <headerFooter alignWithMargins="0">
    <oddHeader>&amp;C&amp;"Arial,Bold"Test Case Planning and Execution
&amp;A</oddHeader>
    <oddFooter>&amp;L&amp;"Arial,Italic"&amp;8&amp;D &amp;T&amp;C&amp;"Arial,Italic"&amp;8&amp;F&amp;R&amp;"Arial,Italic"&amp;8Page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C53D-8C3F-402D-83C2-854119A27A8C}">
  <dimension ref="A1:I66"/>
  <sheetViews>
    <sheetView topLeftCell="A9" workbookViewId="0">
      <selection activeCell="F10" sqref="F10"/>
    </sheetView>
  </sheetViews>
  <sheetFormatPr defaultRowHeight="12.75"/>
  <cols>
    <col min="1" max="1" width="10.28515625" customWidth="1"/>
    <col min="2" max="3" width="21.85546875" customWidth="1"/>
    <col min="4" max="4" width="12.28515625" customWidth="1"/>
    <col min="5" max="5" width="15.85546875" customWidth="1"/>
    <col min="6" max="6" width="17.7109375" customWidth="1"/>
    <col min="7" max="7" width="17.42578125" customWidth="1"/>
    <col min="8" max="8" width="14.42578125" customWidth="1"/>
    <col min="9" max="9" width="25.42578125" customWidth="1"/>
  </cols>
  <sheetData>
    <row r="1" spans="1:9" ht="24">
      <c r="A1" s="45" t="s">
        <v>23</v>
      </c>
      <c r="B1" s="45" t="s">
        <v>89</v>
      </c>
      <c r="C1" s="45" t="s">
        <v>97</v>
      </c>
      <c r="D1" s="45" t="s">
        <v>235</v>
      </c>
      <c r="E1" s="45" t="s">
        <v>236</v>
      </c>
      <c r="F1" s="45" t="s">
        <v>92</v>
      </c>
      <c r="G1" s="45" t="s">
        <v>237</v>
      </c>
      <c r="H1" s="45" t="s">
        <v>246</v>
      </c>
      <c r="I1" s="45" t="s">
        <v>95</v>
      </c>
    </row>
    <row r="2" spans="1:9">
      <c r="A2" s="4" t="str">
        <f>'Test Case List'!C2</f>
        <v>TC01.1</v>
      </c>
      <c r="B2" s="4" t="str">
        <f>'Test Case List'!D2</f>
        <v>Đăng ký hợp lệ</v>
      </c>
      <c r="C2" s="4" t="str">
        <f>Table2[[#This Row],[Module]]</f>
        <v>Auth</v>
      </c>
      <c r="D2" s="4" t="str">
        <f>VLOOKUP(A2,'Test Case Coverage Plan'!A3:F27,5,FALSE)</f>
        <v>No</v>
      </c>
      <c r="E2" s="4" t="s">
        <v>1</v>
      </c>
      <c r="F2" s="4" t="s">
        <v>244</v>
      </c>
      <c r="G2" s="21"/>
      <c r="H2" s="21"/>
      <c r="I2" s="4"/>
    </row>
    <row r="3" spans="1:9" ht="36">
      <c r="A3" s="4" t="str">
        <f>'Test Case List'!C3</f>
        <v>TC01.2</v>
      </c>
      <c r="B3" s="4" t="str">
        <f>'Test Case List'!D3</f>
        <v>Đăng ký email trùng với user đã tồn tại trong hệ thống</v>
      </c>
      <c r="C3" s="4" t="str">
        <f>Table2[[#This Row],[Module]]</f>
        <v>Auth</v>
      </c>
      <c r="D3" s="4" t="str">
        <f>VLOOKUP(A3,'Test Case Coverage Plan'!A4:F28,5,FALSE)</f>
        <v>No</v>
      </c>
      <c r="E3" s="4" t="s">
        <v>1</v>
      </c>
      <c r="F3" s="5" t="s">
        <v>244</v>
      </c>
      <c r="G3" s="22"/>
      <c r="H3" s="22"/>
      <c r="I3" s="5"/>
    </row>
    <row r="4" spans="1:9" ht="36">
      <c r="A4" s="4" t="str">
        <f>'Test Case List'!C4</f>
        <v>TC01.3</v>
      </c>
      <c r="B4" s="4" t="str">
        <f>'Test Case List'!D4</f>
        <v>Đăng ký bỏ trống trường email hoặc trường password</v>
      </c>
      <c r="C4" s="4" t="str">
        <f>Table2[[#This Row],[Module]]</f>
        <v>Auth</v>
      </c>
      <c r="D4" s="4" t="str">
        <f>VLOOKUP(A4,'Test Case Coverage Plan'!A5:F29,5,FALSE)</f>
        <v>No</v>
      </c>
      <c r="E4" s="4" t="s">
        <v>1</v>
      </c>
      <c r="F4" s="5" t="s">
        <v>244</v>
      </c>
      <c r="G4" s="22"/>
      <c r="H4" s="22"/>
      <c r="I4" s="5"/>
    </row>
    <row r="5" spans="1:9">
      <c r="A5" s="4" t="str">
        <f>'Test Case List'!C5</f>
        <v>TC02.1</v>
      </c>
      <c r="B5" s="4" t="str">
        <f>'Test Case List'!D5</f>
        <v>Đăng nhập hợp lệ</v>
      </c>
      <c r="C5" s="4" t="str">
        <f>Table2[[#This Row],[Module]]</f>
        <v>Auth</v>
      </c>
      <c r="D5" s="4" t="str">
        <f>VLOOKUP(A5,'Test Case Coverage Plan'!A6:F30,5,FALSE)</f>
        <v>Yes</v>
      </c>
      <c r="E5" s="4" t="s">
        <v>1</v>
      </c>
      <c r="F5" s="5" t="s">
        <v>239</v>
      </c>
      <c r="G5" s="22"/>
      <c r="H5" s="22"/>
      <c r="I5" s="5"/>
    </row>
    <row r="6" spans="1:9">
      <c r="A6" s="4" t="str">
        <f>'Test Case List'!C6</f>
        <v>TC02.2</v>
      </c>
      <c r="B6" s="4" t="str">
        <f>'Test Case List'!D6</f>
        <v>Đăng nhập sai pass</v>
      </c>
      <c r="C6" s="4" t="str">
        <f>Table2[[#This Row],[Module]]</f>
        <v>Auth</v>
      </c>
      <c r="D6" s="4" t="str">
        <f>VLOOKUP(A6,'Test Case Coverage Plan'!A7:F31,5,FALSE)</f>
        <v>Yes</v>
      </c>
      <c r="E6" s="4" t="s">
        <v>1</v>
      </c>
      <c r="F6" s="5" t="s">
        <v>239</v>
      </c>
      <c r="G6" s="22"/>
      <c r="H6" s="22"/>
      <c r="I6" s="5"/>
    </row>
    <row r="7" spans="1:9">
      <c r="A7" s="4" t="str">
        <f>'Test Case List'!C7</f>
        <v>TC02.3</v>
      </c>
      <c r="B7" s="4" t="str">
        <f>'Test Case List'!D7</f>
        <v>Đăng nhập sai email</v>
      </c>
      <c r="C7" s="4" t="str">
        <f>Table2[[#This Row],[Module]]</f>
        <v>Auth</v>
      </c>
      <c r="D7" s="4" t="str">
        <f>VLOOKUP(A7,'Test Case Coverage Plan'!A8:F32,5,FALSE)</f>
        <v>Yes</v>
      </c>
      <c r="E7" s="4" t="s">
        <v>1</v>
      </c>
      <c r="F7" s="5" t="s">
        <v>239</v>
      </c>
      <c r="G7" s="22"/>
      <c r="H7" s="22"/>
      <c r="I7" s="5"/>
    </row>
    <row r="8" spans="1:9" ht="36">
      <c r="A8" s="4" t="str">
        <f>'Test Case List'!C8</f>
        <v>TC03.1</v>
      </c>
      <c r="B8" s="4" t="str">
        <f>'Test Case List'!D8</f>
        <v>Kiểm tra UI form tạo bài viết có đủ các trường thông tin</v>
      </c>
      <c r="C8" s="4" t="str">
        <f>Table2[[#This Row],[Module]]</f>
        <v>Article</v>
      </c>
      <c r="D8" s="4" t="str">
        <f>VLOOKUP(A8,'Test Case Coverage Plan'!A9:F33,5,FALSE)</f>
        <v>Yes</v>
      </c>
      <c r="E8" s="4" t="s">
        <v>1</v>
      </c>
      <c r="F8" s="5" t="s">
        <v>239</v>
      </c>
      <c r="G8" s="22"/>
      <c r="H8" s="22"/>
      <c r="I8" s="5"/>
    </row>
    <row r="9" spans="1:9" ht="48">
      <c r="A9" s="4" t="str">
        <f>'Test Case List'!C9</f>
        <v>TC03.2</v>
      </c>
      <c r="B9" s="4" t="str">
        <f>'Test Case List'!D9</f>
        <v>Kiểm tra khi nhấn nút publish article nhưng bỏ trống các trường bắt buộc</v>
      </c>
      <c r="C9" s="4" t="str">
        <f>Table2[[#This Row],[Module]]</f>
        <v>Article</v>
      </c>
      <c r="D9" s="4" t="str">
        <f>VLOOKUP(A9,'Test Case Coverage Plan'!A10:F34,5,FALSE)</f>
        <v>Yes</v>
      </c>
      <c r="E9" s="4" t="s">
        <v>1</v>
      </c>
      <c r="F9" s="5" t="s">
        <v>239</v>
      </c>
      <c r="G9" s="22"/>
      <c r="H9" s="22"/>
      <c r="I9" s="5"/>
    </row>
    <row r="10" spans="1:9" ht="24">
      <c r="A10" s="4" t="str">
        <f>'Test Case List'!C10</f>
        <v>TC03.3</v>
      </c>
      <c r="B10" s="4" t="str">
        <f>'Test Case List'!D10</f>
        <v>Kiểm tra tạo bài viết với Title đã tồn tại</v>
      </c>
      <c r="C10" s="4" t="str">
        <f>Table2[[#This Row],[Module]]</f>
        <v>Article</v>
      </c>
      <c r="D10" s="4" t="str">
        <f>VLOOKUP(A10,'Test Case Coverage Plan'!A11:F35,5,FALSE)</f>
        <v>Yes</v>
      </c>
      <c r="E10" s="4" t="s">
        <v>1</v>
      </c>
      <c r="F10" s="5" t="s">
        <v>245</v>
      </c>
      <c r="G10" s="22"/>
      <c r="H10" s="22"/>
      <c r="I10" s="5"/>
    </row>
    <row r="11" spans="1:9" ht="24">
      <c r="A11" s="4" t="str">
        <f>'Test Case List'!C11</f>
        <v>TC03.4</v>
      </c>
      <c r="B11" s="4" t="str">
        <f>'Test Case List'!D11</f>
        <v>Kiểm tra số lượng ký tự giới hạn trong các fields</v>
      </c>
      <c r="C11" s="4" t="str">
        <f>Table2[[#This Row],[Module]]</f>
        <v>Article</v>
      </c>
      <c r="D11" s="4" t="str">
        <f>VLOOKUP(A11,'Test Case Coverage Plan'!A12:F36,5,FALSE)</f>
        <v>Yes</v>
      </c>
      <c r="E11" s="4" t="s">
        <v>1</v>
      </c>
      <c r="F11" s="5" t="s">
        <v>239</v>
      </c>
      <c r="G11" s="22"/>
      <c r="H11" s="22"/>
      <c r="I11" s="5"/>
    </row>
    <row r="12" spans="1:9" ht="48">
      <c r="A12" s="4" t="str">
        <f>'Test Case List'!C12</f>
        <v>TC03.5</v>
      </c>
      <c r="B12" s="4" t="str">
        <f>'Test Case List'!D12</f>
        <v>Kiểm tra bài viết hiển thị trên Global Feed,  My Article trong User Profile sau khi tạo</v>
      </c>
      <c r="C12" s="4" t="str">
        <f>Table2[[#This Row],[Module]]</f>
        <v>Article</v>
      </c>
      <c r="D12" s="4" t="str">
        <f>VLOOKUP(A12,'Test Case Coverage Plan'!A13:F37,5,FALSE)</f>
        <v>Yes</v>
      </c>
      <c r="E12" s="4" t="s">
        <v>1</v>
      </c>
      <c r="F12" s="5" t="s">
        <v>239</v>
      </c>
      <c r="G12" s="22"/>
      <c r="H12" s="22"/>
      <c r="I12" s="5"/>
    </row>
    <row r="13" spans="1:9">
      <c r="A13" s="4" t="str">
        <f>'Test Case List'!C13</f>
        <v>TC04.1</v>
      </c>
      <c r="B13" s="4" t="str">
        <f>'Test Case List'!D13</f>
        <v>Đọc chi tiết bài viết</v>
      </c>
      <c r="C13" s="4" t="str">
        <f>Table2[[#This Row],[Module]]</f>
        <v>Article</v>
      </c>
      <c r="D13" s="4" t="str">
        <f>VLOOKUP(A13,'Test Case Coverage Plan'!A14:F38,5,FALSE)</f>
        <v>Yes</v>
      </c>
      <c r="E13" s="4" t="s">
        <v>1</v>
      </c>
      <c r="F13" s="5" t="s">
        <v>239</v>
      </c>
      <c r="G13" s="22"/>
      <c r="H13" s="22"/>
      <c r="I13" s="5"/>
    </row>
    <row r="14" spans="1:9">
      <c r="A14" s="4" t="str">
        <f>'Test Case List'!C14</f>
        <v>TC05.1</v>
      </c>
      <c r="B14" s="4" t="str">
        <f>'Test Case List'!D14</f>
        <v>Cập nhật bài viết</v>
      </c>
      <c r="C14" s="4" t="str">
        <f>Table2[[#This Row],[Module]]</f>
        <v>Article</v>
      </c>
      <c r="D14" s="4" t="str">
        <f>VLOOKUP(A14,'Test Case Coverage Plan'!A15:F39,5,FALSE)</f>
        <v>Yes</v>
      </c>
      <c r="E14" s="4" t="s">
        <v>1</v>
      </c>
      <c r="F14" s="5" t="s">
        <v>239</v>
      </c>
      <c r="G14" s="22"/>
      <c r="H14" s="22"/>
      <c r="I14" s="5"/>
    </row>
    <row r="15" spans="1:9" ht="36">
      <c r="A15" s="4" t="str">
        <f>'Test Case List'!C15</f>
        <v>TC05.2</v>
      </c>
      <c r="B15" s="4" t="str">
        <f>'Test Case List'!D15</f>
        <v>Kiểm tra khi sửa bài viết cố ý bỏ trống các trường thông tin bắt buộc</v>
      </c>
      <c r="C15" s="4" t="str">
        <f>Table2[[#This Row],[Module]]</f>
        <v>Article</v>
      </c>
      <c r="D15" s="4" t="str">
        <f>VLOOKUP(A15,'Test Case Coverage Plan'!A16:F40,5,FALSE)</f>
        <v>Yes</v>
      </c>
      <c r="E15" s="4" t="s">
        <v>1</v>
      </c>
      <c r="F15" s="5" t="s">
        <v>239</v>
      </c>
      <c r="G15" s="22"/>
      <c r="H15" s="22"/>
      <c r="I15" s="5"/>
    </row>
    <row r="16" spans="1:9">
      <c r="A16" s="4" t="str">
        <f>'Test Case List'!C16</f>
        <v>TC06.1</v>
      </c>
      <c r="B16" s="4" t="str">
        <f>'Test Case List'!D16</f>
        <v>Xóa bài viết thành công</v>
      </c>
      <c r="C16" s="4" t="str">
        <f>Table2[[#This Row],[Module]]</f>
        <v>Article</v>
      </c>
      <c r="D16" s="4" t="str">
        <f>VLOOKUP(A16,'Test Case Coverage Plan'!A17:F41,5,FALSE)</f>
        <v>Yes</v>
      </c>
      <c r="E16" s="4" t="s">
        <v>1</v>
      </c>
      <c r="F16" s="5" t="s">
        <v>239</v>
      </c>
      <c r="G16" s="22"/>
      <c r="H16" s="22"/>
      <c r="I16" s="5"/>
    </row>
    <row r="17" spans="1:9" ht="24">
      <c r="A17" s="4" t="str">
        <f>'Test Case List'!C17</f>
        <v>TC07.1</v>
      </c>
      <c r="B17" s="4" t="str">
        <f>'Test Case List'!D17</f>
        <v>Thêm bình luận mới thành công</v>
      </c>
      <c r="C17" s="4" t="str">
        <f>Table2[[#This Row],[Module]]</f>
        <v>Social</v>
      </c>
      <c r="D17" s="4" t="str">
        <f>VLOOKUP(A17,'Test Case Coverage Plan'!A18:F42,5,FALSE)</f>
        <v>No</v>
      </c>
      <c r="E17" s="4" t="s">
        <v>1</v>
      </c>
      <c r="F17" s="5" t="s">
        <v>240</v>
      </c>
      <c r="G17" s="22"/>
      <c r="H17" s="22"/>
      <c r="I17" s="5"/>
    </row>
    <row r="18" spans="1:9">
      <c r="A18" s="4" t="str">
        <f>'Test Case List'!C18</f>
        <v>TC07.2</v>
      </c>
      <c r="B18" s="4" t="str">
        <f>'Test Case List'!D18</f>
        <v>Xóa bình luận</v>
      </c>
      <c r="C18" s="4" t="str">
        <f>Table2[[#This Row],[Module]]</f>
        <v>Social</v>
      </c>
      <c r="D18" s="4" t="str">
        <f>VLOOKUP(A18,'Test Case Coverage Plan'!A19:F43,5,FALSE)</f>
        <v>No</v>
      </c>
      <c r="E18" s="4" t="s">
        <v>1</v>
      </c>
      <c r="F18" s="5" t="s">
        <v>240</v>
      </c>
      <c r="G18" s="22"/>
      <c r="H18" s="22"/>
      <c r="I18" s="5"/>
    </row>
    <row r="19" spans="1:9" ht="24">
      <c r="A19" s="4" t="str">
        <f>'Test Case List'!C19</f>
        <v>TC08.1</v>
      </c>
      <c r="B19" s="4" t="str">
        <f>'Test Case List'!D19</f>
        <v>Thả tim và bỏ thả tym bài viết</v>
      </c>
      <c r="C19" s="4" t="str">
        <f>Table2[[#This Row],[Module]]</f>
        <v>Social</v>
      </c>
      <c r="D19" s="4" t="str">
        <f>VLOOKUP(A19,'Test Case Coverage Plan'!A20:F44,5,FALSE)</f>
        <v>No</v>
      </c>
      <c r="E19" s="4" t="s">
        <v>1</v>
      </c>
      <c r="F19" s="5" t="s">
        <v>240</v>
      </c>
      <c r="G19" s="22"/>
      <c r="H19" s="22"/>
      <c r="I19" s="5"/>
    </row>
    <row r="20" spans="1:9" ht="24">
      <c r="A20" s="4" t="str">
        <f>'Test Case List'!C20</f>
        <v>TC09.1</v>
      </c>
      <c r="B20" s="4" t="str">
        <f>'Test Case List'!D20</f>
        <v xml:space="preserve">Theo dõi tác giả có bài viết hay </v>
      </c>
      <c r="C20" s="4" t="str">
        <f>Table2[[#This Row],[Module]]</f>
        <v>Social</v>
      </c>
      <c r="D20" s="4" t="str">
        <f>VLOOKUP(A20,'Test Case Coverage Plan'!A21:F45,5,FALSE)</f>
        <v>No</v>
      </c>
      <c r="E20" s="4" t="s">
        <v>1</v>
      </c>
      <c r="F20" s="5" t="s">
        <v>240</v>
      </c>
      <c r="G20" s="22"/>
      <c r="H20" s="22"/>
      <c r="I20" s="5"/>
    </row>
    <row r="21" spans="1:9">
      <c r="A21" s="4" t="str">
        <f>'Test Case List'!C21</f>
        <v>TC10.1</v>
      </c>
      <c r="B21" s="4" t="str">
        <f>'Test Case List'!D21</f>
        <v>Kiểm tra tab My Articles</v>
      </c>
      <c r="C21" s="4" t="str">
        <f>Table2[[#This Row],[Module]]</f>
        <v>Profile</v>
      </c>
      <c r="D21" s="4" t="str">
        <f>VLOOKUP(A21,'Test Case Coverage Plan'!A22:F46,5,FALSE)</f>
        <v>No</v>
      </c>
      <c r="E21" s="4" t="s">
        <v>1</v>
      </c>
      <c r="F21" s="5" t="s">
        <v>240</v>
      </c>
      <c r="G21" s="22"/>
      <c r="H21" s="22"/>
      <c r="I21" s="5"/>
    </row>
    <row r="22" spans="1:9" ht="24">
      <c r="A22" s="4" t="str">
        <f>'Test Case List'!C22</f>
        <v>TC10.2</v>
      </c>
      <c r="B22" s="4" t="str">
        <f>'Test Case List'!D22</f>
        <v>Kiểm tra tab Favorited Articles</v>
      </c>
      <c r="C22" s="4" t="str">
        <f>Table2[[#This Row],[Module]]</f>
        <v>Profile</v>
      </c>
      <c r="D22" s="4" t="str">
        <f>VLOOKUP(A22,'Test Case Coverage Plan'!A23:F47,5,FALSE)</f>
        <v>No</v>
      </c>
      <c r="E22" s="4" t="s">
        <v>1</v>
      </c>
      <c r="F22" s="5" t="s">
        <v>240</v>
      </c>
      <c r="G22" s="22"/>
      <c r="H22" s="22"/>
      <c r="I22" s="5"/>
    </row>
    <row r="23" spans="1:9">
      <c r="A23" s="4"/>
      <c r="B23" s="4"/>
      <c r="C23" s="4"/>
      <c r="D23" s="4"/>
      <c r="E23" s="4"/>
      <c r="F23" s="5"/>
      <c r="G23" s="22"/>
      <c r="H23" s="22"/>
      <c r="I23" s="5"/>
    </row>
    <row r="24" spans="1:9">
      <c r="A24" s="4"/>
      <c r="B24" s="4"/>
      <c r="C24" s="4"/>
      <c r="D24" s="4"/>
      <c r="E24" s="4"/>
      <c r="F24" s="5"/>
      <c r="G24" s="22"/>
      <c r="H24" s="22"/>
      <c r="I24" s="5"/>
    </row>
    <row r="25" spans="1:9">
      <c r="A25" s="4"/>
      <c r="B25" s="4"/>
      <c r="C25" s="4"/>
      <c r="D25" s="4"/>
      <c r="E25" s="4"/>
      <c r="F25" s="5"/>
      <c r="G25" s="22"/>
      <c r="H25" s="22"/>
      <c r="I25" s="5"/>
    </row>
    <row r="26" spans="1:9">
      <c r="A26" s="4"/>
      <c r="B26" s="4"/>
      <c r="C26" s="4"/>
      <c r="D26" s="4"/>
      <c r="E26" s="4"/>
      <c r="F26" s="5"/>
      <c r="G26" s="22"/>
      <c r="H26" s="22"/>
      <c r="I26" s="5"/>
    </row>
    <row r="27" spans="1:9">
      <c r="A27" s="4"/>
      <c r="B27" s="4"/>
      <c r="C27" s="4"/>
      <c r="D27" s="4"/>
      <c r="E27" s="4"/>
      <c r="F27" s="5"/>
      <c r="G27" s="42"/>
      <c r="H27" s="42"/>
      <c r="I27" s="38"/>
    </row>
    <row r="28" spans="1:9">
      <c r="A28" s="4"/>
      <c r="B28" s="4"/>
      <c r="C28" s="4"/>
      <c r="D28" s="4"/>
      <c r="E28" s="4"/>
      <c r="F28" s="5"/>
      <c r="G28" s="42"/>
      <c r="H28" s="42"/>
      <c r="I28" s="38"/>
    </row>
    <row r="29" spans="1:9">
      <c r="A29" s="4"/>
      <c r="B29" s="4"/>
      <c r="C29" s="4"/>
      <c r="D29" s="4"/>
      <c r="E29" s="4"/>
      <c r="F29" s="5"/>
      <c r="G29" s="42"/>
      <c r="H29" s="42"/>
      <c r="I29" s="38"/>
    </row>
    <row r="30" spans="1:9">
      <c r="A30" s="4"/>
      <c r="B30" s="4"/>
      <c r="C30" s="4"/>
      <c r="D30" s="4"/>
      <c r="E30" s="4"/>
      <c r="F30" s="5"/>
      <c r="G30" s="42"/>
      <c r="H30" s="42"/>
      <c r="I30" s="38"/>
    </row>
    <row r="31" spans="1:9">
      <c r="A31" s="4"/>
      <c r="B31" s="4"/>
      <c r="C31" s="4"/>
      <c r="D31" s="4"/>
      <c r="E31" s="4"/>
      <c r="F31" s="5"/>
      <c r="G31" s="42"/>
      <c r="H31" s="42"/>
      <c r="I31" s="38"/>
    </row>
    <row r="32" spans="1:9">
      <c r="A32" s="4"/>
      <c r="B32" s="4"/>
      <c r="C32" s="4"/>
      <c r="D32" s="4"/>
      <c r="E32" s="4"/>
      <c r="F32" s="5"/>
      <c r="G32" s="42"/>
      <c r="H32" s="42"/>
      <c r="I32" s="38"/>
    </row>
    <row r="33" spans="1:9">
      <c r="A33" s="4"/>
      <c r="B33" s="4"/>
      <c r="C33" s="4"/>
      <c r="D33" s="4"/>
      <c r="E33" s="4"/>
      <c r="F33" s="5"/>
      <c r="G33" s="42"/>
      <c r="H33" s="42"/>
      <c r="I33" s="38"/>
    </row>
    <row r="34" spans="1:9">
      <c r="A34" s="4"/>
      <c r="B34" s="4"/>
      <c r="C34" s="4"/>
      <c r="D34" s="4"/>
      <c r="E34" s="4"/>
      <c r="F34" s="5"/>
      <c r="G34" s="42"/>
      <c r="H34" s="42"/>
      <c r="I34" s="38"/>
    </row>
    <row r="35" spans="1:9">
      <c r="A35" s="4"/>
      <c r="B35" s="4"/>
      <c r="C35" s="4"/>
      <c r="D35" s="4"/>
      <c r="E35" s="4"/>
      <c r="F35" s="5"/>
      <c r="G35" s="42"/>
      <c r="H35" s="42"/>
      <c r="I35" s="38"/>
    </row>
    <row r="36" spans="1:9">
      <c r="A36" s="4"/>
      <c r="B36" s="4"/>
      <c r="C36" s="4"/>
      <c r="D36" s="4"/>
      <c r="E36" s="4"/>
      <c r="F36" s="5"/>
      <c r="G36" s="42"/>
      <c r="H36" s="42"/>
      <c r="I36" s="38"/>
    </row>
    <row r="37" spans="1:9">
      <c r="A37" s="4"/>
      <c r="B37" s="4"/>
      <c r="C37" s="4"/>
      <c r="D37" s="4"/>
      <c r="E37" s="4"/>
      <c r="F37" s="5"/>
      <c r="G37" s="42"/>
      <c r="H37" s="42"/>
      <c r="I37" s="38"/>
    </row>
    <row r="38" spans="1:9">
      <c r="A38" s="4"/>
      <c r="B38" s="4"/>
      <c r="C38" s="4"/>
      <c r="D38" s="4"/>
      <c r="E38" s="4"/>
      <c r="F38" s="5"/>
      <c r="G38" s="42"/>
      <c r="H38" s="42"/>
      <c r="I38" s="38"/>
    </row>
    <row r="39" spans="1:9">
      <c r="A39" s="4"/>
      <c r="B39" s="4"/>
      <c r="C39" s="4"/>
      <c r="D39" s="4"/>
      <c r="E39" s="4"/>
      <c r="F39" s="5"/>
      <c r="G39" s="42"/>
      <c r="H39" s="42"/>
      <c r="I39" s="38"/>
    </row>
    <row r="40" spans="1:9">
      <c r="A40" s="4"/>
      <c r="B40" s="38"/>
      <c r="C40" s="38"/>
      <c r="D40" s="38"/>
      <c r="E40" s="38"/>
      <c r="F40" s="38"/>
      <c r="G40" s="42"/>
      <c r="H40" s="42"/>
      <c r="I40" s="38"/>
    </row>
    <row r="41" spans="1:9">
      <c r="A41" s="4"/>
      <c r="B41" s="38"/>
      <c r="C41" s="38"/>
      <c r="D41" s="38"/>
      <c r="E41" s="38"/>
      <c r="F41" s="38"/>
      <c r="G41" s="42"/>
      <c r="H41" s="42"/>
      <c r="I41" s="38"/>
    </row>
    <row r="42" spans="1:9">
      <c r="A42" s="38"/>
      <c r="B42" s="38"/>
      <c r="C42" s="38"/>
      <c r="D42" s="38"/>
      <c r="E42" s="38"/>
      <c r="F42" s="38"/>
      <c r="G42" s="42"/>
      <c r="H42" s="42"/>
      <c r="I42" s="38"/>
    </row>
    <row r="43" spans="1:9">
      <c r="A43" s="38"/>
      <c r="B43" s="38"/>
      <c r="C43" s="38"/>
      <c r="D43" s="38"/>
      <c r="E43" s="38"/>
      <c r="F43" s="38"/>
      <c r="G43" s="42"/>
      <c r="H43" s="42"/>
      <c r="I43" s="38"/>
    </row>
    <row r="44" spans="1:9">
      <c r="A44" s="38"/>
      <c r="B44" s="38"/>
      <c r="C44" s="38"/>
      <c r="D44" s="38"/>
      <c r="E44" s="38"/>
      <c r="F44" s="38"/>
      <c r="G44" s="42"/>
      <c r="H44" s="42"/>
      <c r="I44" s="38"/>
    </row>
    <row r="45" spans="1:9">
      <c r="A45" s="38"/>
      <c r="B45" s="38"/>
      <c r="C45" s="38"/>
      <c r="D45" s="38"/>
      <c r="E45" s="38"/>
      <c r="F45" s="38"/>
      <c r="G45" s="42"/>
      <c r="H45" s="42"/>
      <c r="I45" s="38"/>
    </row>
    <row r="46" spans="1:9">
      <c r="A46" s="38"/>
      <c r="B46" s="38"/>
      <c r="C46" s="38"/>
      <c r="D46" s="38"/>
      <c r="E46" s="38"/>
      <c r="F46" s="38"/>
      <c r="G46" s="42"/>
      <c r="H46" s="42"/>
      <c r="I46" s="38"/>
    </row>
    <row r="47" spans="1:9">
      <c r="A47" s="38"/>
      <c r="B47" s="38"/>
      <c r="C47" s="38"/>
      <c r="D47" s="38"/>
      <c r="E47" s="38"/>
      <c r="F47" s="38"/>
      <c r="G47" s="42"/>
      <c r="H47" s="42"/>
      <c r="I47" s="38"/>
    </row>
    <row r="48" spans="1:9">
      <c r="A48" s="8" t="s">
        <v>241</v>
      </c>
      <c r="B48" s="7"/>
      <c r="C48" s="7"/>
      <c r="D48" s="7"/>
      <c r="E48" s="8" t="s">
        <v>241</v>
      </c>
      <c r="F48" s="7"/>
      <c r="G48" s="7"/>
      <c r="H48" s="7"/>
      <c r="I48" s="7"/>
    </row>
    <row r="50" spans="1:9" ht="25.5" customHeight="1">
      <c r="A50" s="50" t="s">
        <v>208</v>
      </c>
      <c r="B50" s="50"/>
      <c r="C50" s="50"/>
      <c r="D50" s="50"/>
      <c r="E50" s="50"/>
    </row>
    <row r="51" spans="1:9">
      <c r="A51" s="11" t="s">
        <v>236</v>
      </c>
      <c r="B51" s="12"/>
      <c r="C51" s="49"/>
      <c r="E51" s="11" t="s">
        <v>209</v>
      </c>
      <c r="F51" s="12"/>
      <c r="H51" s="11" t="s">
        <v>242</v>
      </c>
      <c r="I51" s="12"/>
    </row>
    <row r="52" spans="1:9">
      <c r="A52" s="13" t="s">
        <v>1</v>
      </c>
      <c r="B52" s="14"/>
      <c r="C52" s="49"/>
      <c r="E52" s="13" t="s">
        <v>243</v>
      </c>
      <c r="F52" s="14"/>
      <c r="H52" s="43" t="s">
        <v>225</v>
      </c>
      <c r="I52" s="16"/>
    </row>
    <row r="53" spans="1:9">
      <c r="A53" s="13" t="s">
        <v>234</v>
      </c>
      <c r="B53" s="14"/>
      <c r="C53" s="49"/>
      <c r="E53" s="13" t="s">
        <v>244</v>
      </c>
      <c r="F53" s="14"/>
    </row>
    <row r="54" spans="1:9">
      <c r="A54" s="13"/>
      <c r="B54" s="14"/>
      <c r="C54" s="49"/>
      <c r="E54" s="13" t="s">
        <v>240</v>
      </c>
      <c r="F54" s="14"/>
    </row>
    <row r="55" spans="1:9">
      <c r="A55" s="13"/>
      <c r="B55" s="14"/>
      <c r="C55" s="49"/>
      <c r="E55" s="13" t="s">
        <v>212</v>
      </c>
      <c r="F55" s="14"/>
    </row>
    <row r="56" spans="1:9">
      <c r="A56" s="13"/>
      <c r="B56" s="14"/>
      <c r="C56" s="49"/>
      <c r="E56" s="13" t="s">
        <v>239</v>
      </c>
      <c r="F56" s="14"/>
    </row>
    <row r="57" spans="1:9">
      <c r="A57" s="13"/>
      <c r="B57" s="14"/>
      <c r="C57" s="49"/>
      <c r="E57" s="13" t="s">
        <v>245</v>
      </c>
      <c r="F57" s="14"/>
    </row>
    <row r="58" spans="1:9">
      <c r="A58" s="13"/>
      <c r="B58" s="14"/>
      <c r="C58" s="49"/>
      <c r="E58" s="13"/>
      <c r="F58" s="14"/>
    </row>
    <row r="59" spans="1:9">
      <c r="A59" s="13"/>
      <c r="B59" s="14"/>
      <c r="C59" s="49"/>
      <c r="E59" s="13"/>
      <c r="F59" s="14"/>
    </row>
    <row r="60" spans="1:9">
      <c r="A60" s="13"/>
      <c r="B60" s="14"/>
      <c r="C60" s="49"/>
      <c r="E60" s="15"/>
      <c r="F60" s="16"/>
    </row>
    <row r="61" spans="1:9">
      <c r="A61" s="13"/>
      <c r="B61" s="14"/>
      <c r="C61" s="49"/>
    </row>
    <row r="62" spans="1:9">
      <c r="A62" s="13"/>
      <c r="B62" s="14"/>
      <c r="C62" s="49"/>
    </row>
    <row r="63" spans="1:9">
      <c r="A63" s="13"/>
      <c r="B63" s="14"/>
      <c r="C63" s="49"/>
    </row>
    <row r="64" spans="1:9">
      <c r="A64" s="13"/>
      <c r="B64" s="14"/>
      <c r="C64" s="49"/>
    </row>
    <row r="65" spans="1:3">
      <c r="A65" s="13"/>
      <c r="B65" s="14"/>
      <c r="C65" s="49"/>
    </row>
    <row r="66" spans="1:3">
      <c r="A66" s="15"/>
      <c r="B66" s="16"/>
      <c r="C66" s="49"/>
    </row>
  </sheetData>
  <autoFilter ref="A1:I48" xr:uid="{F153D238-E28B-4A84-9786-2E4CFEC9EA1D}"/>
  <mergeCells count="1">
    <mergeCell ref="A50:E50"/>
  </mergeCells>
  <phoneticPr fontId="2" type="noConversion"/>
  <dataValidations count="2">
    <dataValidation type="list" allowBlank="1" showInputMessage="1" showErrorMessage="1" sqref="E2:E47" xr:uid="{65EE0F75-B1C6-41AB-8026-AFA0F0AF84EA}">
      <formula1>$A$52:$A$66</formula1>
    </dataValidation>
    <dataValidation type="list" allowBlank="1" showInputMessage="1" showErrorMessage="1" sqref="F2:F47" xr:uid="{577CC7B8-CF97-4CD2-B936-DFD5C90BADF1}">
      <formula1>$E$52:$E$60</formula1>
    </dataValidation>
  </dataValidations>
  <pageMargins left="0.5" right="0.5" top="1" bottom="1" header="0.5" footer="0.5"/>
  <pageSetup orientation="landscape" r:id="rId1"/>
  <headerFooter alignWithMargins="0">
    <oddHeader>&amp;C&amp;"Arial,Bold"Test Case Planning and Execution
&amp;A</oddHeader>
    <oddFooter>&amp;L&amp;"Arial,Italic"&amp;8&amp;D &amp;T&amp;C&amp;"Arial,Italic"&amp;8&amp;F&amp;R&amp;"Arial,Italic"&amp;8Page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7E79-5596-4676-B808-EA95F08DFF1C}">
  <dimension ref="A1:I65"/>
  <sheetViews>
    <sheetView workbookViewId="0">
      <pane xSplit="1" ySplit="1" topLeftCell="B2" activePane="bottomRight" state="frozen"/>
      <selection pane="bottomRight" activeCell="G12" sqref="G12"/>
      <selection pane="bottomLeft" activeCell="A2" sqref="A2"/>
      <selection pane="topRight" activeCell="B1" sqref="B1"/>
    </sheetView>
  </sheetViews>
  <sheetFormatPr defaultRowHeight="12.75"/>
  <cols>
    <col min="1" max="1" width="10.28515625" customWidth="1"/>
    <col min="2" max="3" width="21.85546875" customWidth="1"/>
    <col min="4" max="4" width="12.28515625" customWidth="1"/>
    <col min="5" max="5" width="15.85546875" customWidth="1"/>
    <col min="6" max="6" width="12.28515625" bestFit="1" customWidth="1"/>
    <col min="7" max="7" width="17.42578125" customWidth="1"/>
    <col min="8" max="8" width="14.42578125" customWidth="1"/>
    <col min="9" max="9" width="25.42578125" customWidth="1"/>
  </cols>
  <sheetData>
    <row r="1" spans="1:9" ht="24">
      <c r="A1" s="45" t="s">
        <v>23</v>
      </c>
      <c r="B1" s="45" t="s">
        <v>89</v>
      </c>
      <c r="C1" s="45" t="s">
        <v>97</v>
      </c>
      <c r="D1" s="45" t="s">
        <v>235</v>
      </c>
      <c r="E1" s="45" t="s">
        <v>236</v>
      </c>
      <c r="F1" s="45" t="s">
        <v>92</v>
      </c>
      <c r="G1" s="45" t="s">
        <v>237</v>
      </c>
      <c r="H1" s="45" t="s">
        <v>246</v>
      </c>
      <c r="I1" s="45" t="s">
        <v>95</v>
      </c>
    </row>
    <row r="2" spans="1:9">
      <c r="A2" s="4" t="str">
        <f>'Test Case List'!C2</f>
        <v>TC01.1</v>
      </c>
      <c r="B2" s="4" t="str">
        <f>'Test Case List'!D2</f>
        <v>Đăng ký hợp lệ</v>
      </c>
      <c r="C2" s="4" t="str">
        <f>Table2[[#This Row],[Module]]</f>
        <v>Auth</v>
      </c>
      <c r="D2" s="4" t="str">
        <f>VLOOKUP(A2,'Test Case Coverage Plan'!A3:F27,6,FALSE)</f>
        <v>Yes</v>
      </c>
      <c r="E2" s="4" t="s">
        <v>1</v>
      </c>
      <c r="F2" s="4" t="s">
        <v>239</v>
      </c>
      <c r="G2" s="21"/>
      <c r="H2" s="21"/>
      <c r="I2" s="4"/>
    </row>
    <row r="3" spans="1:9" ht="36">
      <c r="A3" s="4" t="str">
        <f>'Test Case List'!C3</f>
        <v>TC01.2</v>
      </c>
      <c r="B3" s="4" t="str">
        <f>'Test Case List'!D3</f>
        <v>Đăng ký email trùng với user đã tồn tại trong hệ thống</v>
      </c>
      <c r="C3" s="4" t="str">
        <f>Table2[[#This Row],[Module]]</f>
        <v>Auth</v>
      </c>
      <c r="D3" s="4" t="str">
        <f>VLOOKUP(A3,'Test Case Coverage Plan'!A4:F28,6,FALSE)</f>
        <v>No</v>
      </c>
      <c r="E3" s="4" t="s">
        <v>1</v>
      </c>
      <c r="F3" s="5" t="s">
        <v>244</v>
      </c>
      <c r="G3" s="22"/>
      <c r="H3" s="22"/>
      <c r="I3" s="5"/>
    </row>
    <row r="4" spans="1:9" ht="36">
      <c r="A4" s="4" t="str">
        <f>'Test Case List'!C4</f>
        <v>TC01.3</v>
      </c>
      <c r="B4" s="4" t="str">
        <f>'Test Case List'!D4</f>
        <v>Đăng ký bỏ trống trường email hoặc trường password</v>
      </c>
      <c r="C4" s="4" t="str">
        <f>Table2[[#This Row],[Module]]</f>
        <v>Auth</v>
      </c>
      <c r="D4" s="4" t="str">
        <f>VLOOKUP(A4,'Test Case Coverage Plan'!A5:F29,6,FALSE)</f>
        <v>No</v>
      </c>
      <c r="E4" s="4" t="s">
        <v>1</v>
      </c>
      <c r="F4" s="5" t="s">
        <v>244</v>
      </c>
      <c r="G4" s="22"/>
      <c r="H4" s="22"/>
      <c r="I4" s="5"/>
    </row>
    <row r="5" spans="1:9">
      <c r="A5" s="4" t="str">
        <f>'Test Case List'!C5</f>
        <v>TC02.1</v>
      </c>
      <c r="B5" s="4" t="str">
        <f>'Test Case List'!D5</f>
        <v>Đăng nhập hợp lệ</v>
      </c>
      <c r="C5" s="4" t="str">
        <f>Table2[[#This Row],[Module]]</f>
        <v>Auth</v>
      </c>
      <c r="D5" s="4" t="str">
        <f>VLOOKUP(A5,'Test Case Coverage Plan'!A6:F30,6,FALSE)</f>
        <v>Yes</v>
      </c>
      <c r="E5" s="4" t="s">
        <v>1</v>
      </c>
      <c r="F5" s="5" t="s">
        <v>239</v>
      </c>
      <c r="G5" s="22"/>
      <c r="H5" s="22"/>
      <c r="I5" s="5"/>
    </row>
    <row r="6" spans="1:9">
      <c r="A6" s="4" t="str">
        <f>'Test Case List'!C6</f>
        <v>TC02.2</v>
      </c>
      <c r="B6" s="4" t="str">
        <f>'Test Case List'!D6</f>
        <v>Đăng nhập sai pass</v>
      </c>
      <c r="C6" s="4" t="str">
        <f>Table2[[#This Row],[Module]]</f>
        <v>Auth</v>
      </c>
      <c r="D6" s="4" t="str">
        <f>VLOOKUP(A6,'Test Case Coverage Plan'!A7:F31,6,FALSE)</f>
        <v>No</v>
      </c>
      <c r="E6" s="4" t="s">
        <v>1</v>
      </c>
      <c r="F6" s="5" t="s">
        <v>244</v>
      </c>
      <c r="G6" s="22"/>
      <c r="H6" s="22"/>
      <c r="I6" s="5"/>
    </row>
    <row r="7" spans="1:9">
      <c r="A7" s="4" t="str">
        <f>'Test Case List'!C7</f>
        <v>TC02.3</v>
      </c>
      <c r="B7" s="4" t="str">
        <f>'Test Case List'!D7</f>
        <v>Đăng nhập sai email</v>
      </c>
      <c r="C7" s="4" t="str">
        <f>Table2[[#This Row],[Module]]</f>
        <v>Auth</v>
      </c>
      <c r="D7" s="4" t="str">
        <f>VLOOKUP(A7,'Test Case Coverage Plan'!A8:F32,6,FALSE)</f>
        <v>No</v>
      </c>
      <c r="E7" s="4" t="s">
        <v>1</v>
      </c>
      <c r="F7" s="5" t="s">
        <v>244</v>
      </c>
      <c r="G7" s="22"/>
      <c r="H7" s="22"/>
      <c r="I7" s="5"/>
    </row>
    <row r="8" spans="1:9" ht="36">
      <c r="A8" s="4" t="str">
        <f>'Test Case List'!C8</f>
        <v>TC03.1</v>
      </c>
      <c r="B8" s="4" t="str">
        <f>'Test Case List'!D8</f>
        <v>Kiểm tra UI form tạo bài viết có đủ các trường thông tin</v>
      </c>
      <c r="C8" s="4" t="str">
        <f>Table2[[#This Row],[Module]]</f>
        <v>Article</v>
      </c>
      <c r="D8" s="4" t="str">
        <f>VLOOKUP(A8,'Test Case Coverage Plan'!A9:F33,6,FALSE)</f>
        <v>Yes</v>
      </c>
      <c r="E8" s="4" t="s">
        <v>1</v>
      </c>
      <c r="F8" s="5" t="s">
        <v>239</v>
      </c>
      <c r="G8" s="22"/>
      <c r="H8" s="22"/>
      <c r="I8" s="5"/>
    </row>
    <row r="9" spans="1:9" ht="48">
      <c r="A9" s="4" t="str">
        <f>'Test Case List'!C9</f>
        <v>TC03.2</v>
      </c>
      <c r="B9" s="4" t="str">
        <f>'Test Case List'!D9</f>
        <v>Kiểm tra khi nhấn nút publish article nhưng bỏ trống các trường bắt buộc</v>
      </c>
      <c r="C9" s="4" t="str">
        <f>Table2[[#This Row],[Module]]</f>
        <v>Article</v>
      </c>
      <c r="D9" s="4" t="str">
        <f>VLOOKUP(A9,'Test Case Coverage Plan'!A10:F34,6,FALSE)</f>
        <v>Yes</v>
      </c>
      <c r="E9" s="4" t="s">
        <v>1</v>
      </c>
      <c r="F9" s="5" t="s">
        <v>239</v>
      </c>
      <c r="G9" s="22"/>
      <c r="H9" s="22"/>
      <c r="I9" s="5"/>
    </row>
    <row r="10" spans="1:9" ht="24">
      <c r="A10" s="4" t="str">
        <f>'Test Case List'!C10</f>
        <v>TC03.3</v>
      </c>
      <c r="B10" s="4" t="str">
        <f>'Test Case List'!D10</f>
        <v>Kiểm tra tạo bài viết với Title đã tồn tại</v>
      </c>
      <c r="C10" s="4" t="str">
        <f>Table2[[#This Row],[Module]]</f>
        <v>Article</v>
      </c>
      <c r="D10" s="4" t="str">
        <f>VLOOKUP(A10,'Test Case Coverage Plan'!A11:F35,6,FALSE)</f>
        <v>Yes</v>
      </c>
      <c r="E10" s="4" t="s">
        <v>1</v>
      </c>
      <c r="F10" s="5" t="s">
        <v>239</v>
      </c>
      <c r="G10" s="22"/>
      <c r="H10" s="22"/>
      <c r="I10" s="5"/>
    </row>
    <row r="11" spans="1:9" ht="24">
      <c r="A11" s="4" t="str">
        <f>'Test Case List'!C11</f>
        <v>TC03.4</v>
      </c>
      <c r="B11" s="4" t="str">
        <f>'Test Case List'!D11</f>
        <v>Kiểm tra số lượng ký tự giới hạn trong các fields</v>
      </c>
      <c r="C11" s="4" t="str">
        <f>Table2[[#This Row],[Module]]</f>
        <v>Article</v>
      </c>
      <c r="D11" s="4" t="str">
        <f>VLOOKUP(A11,'Test Case Coverage Plan'!A12:F36,6,FALSE)</f>
        <v>Yes</v>
      </c>
      <c r="E11" s="4" t="s">
        <v>1</v>
      </c>
      <c r="F11" s="5" t="s">
        <v>245</v>
      </c>
      <c r="G11" s="22"/>
      <c r="H11" s="22"/>
      <c r="I11" s="5"/>
    </row>
    <row r="12" spans="1:9" ht="48">
      <c r="A12" s="4" t="str">
        <f>'Test Case List'!C12</f>
        <v>TC03.5</v>
      </c>
      <c r="B12" s="4" t="str">
        <f>'Test Case List'!D12</f>
        <v>Kiểm tra bài viết hiển thị trên Global Feed,  My Article trong User Profile sau khi tạo</v>
      </c>
      <c r="C12" s="4" t="str">
        <f>Table2[[#This Row],[Module]]</f>
        <v>Article</v>
      </c>
      <c r="D12" s="4" t="str">
        <f>VLOOKUP(A12,'Test Case Coverage Plan'!A13:F37,6,FALSE)</f>
        <v>Yes</v>
      </c>
      <c r="E12" s="4" t="s">
        <v>1</v>
      </c>
      <c r="F12" s="5" t="s">
        <v>239</v>
      </c>
      <c r="G12" s="22"/>
      <c r="H12" s="22"/>
      <c r="I12" s="5"/>
    </row>
    <row r="13" spans="1:9">
      <c r="A13" s="4" t="str">
        <f>'Test Case List'!C13</f>
        <v>TC04.1</v>
      </c>
      <c r="B13" s="4" t="str">
        <f>'Test Case List'!D13</f>
        <v>Đọc chi tiết bài viết</v>
      </c>
      <c r="C13" s="4" t="str">
        <f>Table2[[#This Row],[Module]]</f>
        <v>Article</v>
      </c>
      <c r="D13" s="4" t="str">
        <f>VLOOKUP(A13,'Test Case Coverage Plan'!A14:F38,6,FALSE)</f>
        <v>Yes</v>
      </c>
      <c r="E13" s="4" t="s">
        <v>1</v>
      </c>
      <c r="F13" s="5" t="s">
        <v>239</v>
      </c>
      <c r="G13" s="22"/>
      <c r="H13" s="22"/>
      <c r="I13" s="5"/>
    </row>
    <row r="14" spans="1:9">
      <c r="A14" s="4" t="str">
        <f>'Test Case List'!C14</f>
        <v>TC05.1</v>
      </c>
      <c r="B14" s="4" t="str">
        <f>'Test Case List'!D14</f>
        <v>Cập nhật bài viết</v>
      </c>
      <c r="C14" s="4" t="str">
        <f>Table2[[#This Row],[Module]]</f>
        <v>Article</v>
      </c>
      <c r="D14" s="4" t="str">
        <f>VLOOKUP(A14,'Test Case Coverage Plan'!A15:F39,6,FALSE)</f>
        <v>Yes</v>
      </c>
      <c r="E14" s="4" t="s">
        <v>1</v>
      </c>
      <c r="F14" s="5" t="s">
        <v>239</v>
      </c>
      <c r="G14" s="22"/>
      <c r="H14" s="22"/>
      <c r="I14" s="5"/>
    </row>
    <row r="15" spans="1:9" ht="36">
      <c r="A15" s="4" t="str">
        <f>'Test Case List'!C15</f>
        <v>TC05.2</v>
      </c>
      <c r="B15" s="4" t="str">
        <f>'Test Case List'!D15</f>
        <v>Kiểm tra khi sửa bài viết cố ý bỏ trống các trường thông tin bắt buộc</v>
      </c>
      <c r="C15" s="4" t="str">
        <f>Table2[[#This Row],[Module]]</f>
        <v>Article</v>
      </c>
      <c r="D15" s="4" t="str">
        <f>VLOOKUP(A15,'Test Case Coverage Plan'!A16:F40,6,FALSE)</f>
        <v>Yes</v>
      </c>
      <c r="E15" s="4" t="s">
        <v>1</v>
      </c>
      <c r="F15" s="5" t="s">
        <v>239</v>
      </c>
      <c r="G15" s="22"/>
      <c r="H15" s="22"/>
      <c r="I15" s="5"/>
    </row>
    <row r="16" spans="1:9">
      <c r="A16" s="4" t="str">
        <f>'Test Case List'!C16</f>
        <v>TC06.1</v>
      </c>
      <c r="B16" s="4" t="str">
        <f>'Test Case List'!D16</f>
        <v>Xóa bài viết thành công</v>
      </c>
      <c r="C16" s="4" t="str">
        <f>Table2[[#This Row],[Module]]</f>
        <v>Article</v>
      </c>
      <c r="D16" s="4" t="str">
        <f>VLOOKUP(A16,'Test Case Coverage Plan'!A17:F41,6,FALSE)</f>
        <v>Yes</v>
      </c>
      <c r="E16" s="4" t="s">
        <v>1</v>
      </c>
      <c r="F16" s="5" t="s">
        <v>239</v>
      </c>
      <c r="G16" s="22"/>
      <c r="H16" s="22"/>
      <c r="I16" s="5"/>
    </row>
    <row r="17" spans="1:9" ht="24">
      <c r="A17" s="4" t="str">
        <f>'Test Case List'!C17</f>
        <v>TC07.1</v>
      </c>
      <c r="B17" s="4" t="str">
        <f>'Test Case List'!D17</f>
        <v>Thêm bình luận mới thành công</v>
      </c>
      <c r="C17" s="4" t="str">
        <f>Table2[[#This Row],[Module]]</f>
        <v>Social</v>
      </c>
      <c r="D17" s="4" t="str">
        <f>VLOOKUP(A17,'Test Case Coverage Plan'!A18:F42,6,FALSE)</f>
        <v>Yes</v>
      </c>
      <c r="E17" s="4" t="s">
        <v>1</v>
      </c>
      <c r="F17" s="5" t="s">
        <v>239</v>
      </c>
      <c r="G17" s="22"/>
      <c r="H17" s="22"/>
      <c r="I17" s="5"/>
    </row>
    <row r="18" spans="1:9">
      <c r="A18" s="4" t="str">
        <f>'Test Case List'!C18</f>
        <v>TC07.2</v>
      </c>
      <c r="B18" s="4" t="str">
        <f>'Test Case List'!D18</f>
        <v>Xóa bình luận</v>
      </c>
      <c r="C18" s="4" t="str">
        <f>Table2[[#This Row],[Module]]</f>
        <v>Social</v>
      </c>
      <c r="D18" s="4" t="str">
        <f>VLOOKUP(A18,'Test Case Coverage Plan'!A19:F43,6,FALSE)</f>
        <v>Yes</v>
      </c>
      <c r="E18" s="4" t="s">
        <v>1</v>
      </c>
      <c r="F18" s="5" t="s">
        <v>239</v>
      </c>
      <c r="G18" s="22"/>
      <c r="H18" s="22"/>
      <c r="I18" s="5"/>
    </row>
    <row r="19" spans="1:9" ht="24">
      <c r="A19" s="4" t="str">
        <f>'Test Case List'!C19</f>
        <v>TC08.1</v>
      </c>
      <c r="B19" s="4" t="str">
        <f>'Test Case List'!D19</f>
        <v>Thả tim và bỏ thả tym bài viết</v>
      </c>
      <c r="C19" s="4" t="str">
        <f>Table2[[#This Row],[Module]]</f>
        <v>Social</v>
      </c>
      <c r="D19" s="4" t="str">
        <f>VLOOKUP(A19,'Test Case Coverage Plan'!A20:F44,6,FALSE)</f>
        <v>Yes</v>
      </c>
      <c r="E19" s="4" t="s">
        <v>1</v>
      </c>
      <c r="F19" s="5" t="s">
        <v>239</v>
      </c>
      <c r="G19" s="22"/>
      <c r="H19" s="22"/>
      <c r="I19" s="5"/>
    </row>
    <row r="20" spans="1:9" ht="24">
      <c r="A20" s="4" t="str">
        <f>'Test Case List'!C20</f>
        <v>TC09.1</v>
      </c>
      <c r="B20" s="4" t="str">
        <f>'Test Case List'!D20</f>
        <v xml:space="preserve">Theo dõi tác giả có bài viết hay </v>
      </c>
      <c r="C20" s="4" t="str">
        <f>Table2[[#This Row],[Module]]</f>
        <v>Social</v>
      </c>
      <c r="D20" s="4" t="str">
        <f>VLOOKUP(A20,'Test Case Coverage Plan'!A21:F45,6,FALSE)</f>
        <v>Yes</v>
      </c>
      <c r="E20" s="4" t="s">
        <v>1</v>
      </c>
      <c r="F20" s="5" t="s">
        <v>239</v>
      </c>
      <c r="G20" s="22"/>
      <c r="H20" s="22"/>
      <c r="I20" s="5"/>
    </row>
    <row r="21" spans="1:9">
      <c r="A21" s="4" t="str">
        <f>'Test Case List'!C21</f>
        <v>TC10.1</v>
      </c>
      <c r="B21" s="4" t="str">
        <f>'Test Case List'!D21</f>
        <v>Kiểm tra tab My Articles</v>
      </c>
      <c r="C21" s="4" t="str">
        <f>Table2[[#This Row],[Module]]</f>
        <v>Profile</v>
      </c>
      <c r="D21" s="4" t="str">
        <f>VLOOKUP(A21,'Test Case Coverage Plan'!A22:F46,6,FALSE)</f>
        <v>Yes</v>
      </c>
      <c r="E21" s="4" t="s">
        <v>1</v>
      </c>
      <c r="F21" s="5" t="s">
        <v>239</v>
      </c>
      <c r="G21" s="22"/>
      <c r="H21" s="22"/>
      <c r="I21" s="5"/>
    </row>
    <row r="22" spans="1:9" ht="24">
      <c r="A22" s="4" t="str">
        <f>'Test Case List'!C22</f>
        <v>TC10.2</v>
      </c>
      <c r="B22" s="4" t="str">
        <f>'Test Case List'!D22</f>
        <v>Kiểm tra tab Favorited Articles</v>
      </c>
      <c r="C22" s="4" t="str">
        <f>Table2[[#This Row],[Module]]</f>
        <v>Profile</v>
      </c>
      <c r="D22" s="4" t="str">
        <f>VLOOKUP(A22,'Test Case Coverage Plan'!A23:F47,6,FALSE)</f>
        <v>Yes</v>
      </c>
      <c r="E22" s="4" t="s">
        <v>1</v>
      </c>
      <c r="F22" s="5" t="s">
        <v>239</v>
      </c>
      <c r="G22" s="22"/>
      <c r="H22" s="22"/>
      <c r="I22" s="5"/>
    </row>
    <row r="23" spans="1:9">
      <c r="A23" s="4"/>
      <c r="B23" s="4"/>
      <c r="C23" s="4"/>
      <c r="D23" s="4"/>
      <c r="E23" s="4"/>
      <c r="F23" s="5"/>
      <c r="G23" s="22"/>
      <c r="H23" s="22"/>
      <c r="I23" s="5"/>
    </row>
    <row r="24" spans="1:9">
      <c r="A24" s="4"/>
      <c r="B24" s="4"/>
      <c r="C24" s="4"/>
      <c r="D24" s="4"/>
      <c r="E24" s="4"/>
      <c r="F24" s="5"/>
      <c r="G24" s="22"/>
      <c r="H24" s="22"/>
      <c r="I24" s="5"/>
    </row>
    <row r="25" spans="1:9">
      <c r="A25" s="4"/>
      <c r="B25" s="4"/>
      <c r="C25" s="4"/>
      <c r="D25" s="4"/>
      <c r="E25" s="4"/>
      <c r="F25" s="5"/>
      <c r="G25" s="22"/>
      <c r="H25" s="22"/>
      <c r="I25" s="5"/>
    </row>
    <row r="26" spans="1:9">
      <c r="A26" s="4"/>
      <c r="B26" s="4"/>
      <c r="C26" s="4"/>
      <c r="D26" s="4"/>
      <c r="E26" s="4"/>
      <c r="F26" s="5"/>
      <c r="G26" s="22"/>
      <c r="H26" s="22"/>
      <c r="I26" s="5"/>
    </row>
    <row r="27" spans="1:9">
      <c r="A27" s="4"/>
      <c r="B27" s="4"/>
      <c r="C27" s="4"/>
      <c r="D27" s="4"/>
      <c r="E27" s="4"/>
      <c r="F27" s="5"/>
      <c r="G27" s="42"/>
      <c r="H27" s="42"/>
      <c r="I27" s="38"/>
    </row>
    <row r="28" spans="1:9">
      <c r="A28" s="4"/>
      <c r="B28" s="4"/>
      <c r="C28" s="4"/>
      <c r="D28" s="4"/>
      <c r="E28" s="4"/>
      <c r="F28" s="5"/>
      <c r="G28" s="42"/>
      <c r="H28" s="42"/>
      <c r="I28" s="38"/>
    </row>
    <row r="29" spans="1:9">
      <c r="A29" s="4"/>
      <c r="B29" s="4"/>
      <c r="C29" s="4"/>
      <c r="D29" s="4"/>
      <c r="E29" s="4"/>
      <c r="F29" s="5"/>
      <c r="G29" s="42"/>
      <c r="H29" s="42"/>
      <c r="I29" s="38"/>
    </row>
    <row r="30" spans="1:9">
      <c r="A30" s="4"/>
      <c r="B30" s="4"/>
      <c r="C30" s="4"/>
      <c r="D30" s="4"/>
      <c r="E30" s="4"/>
      <c r="F30" s="5"/>
      <c r="G30" s="42"/>
      <c r="H30" s="42"/>
      <c r="I30" s="38"/>
    </row>
    <row r="31" spans="1:9">
      <c r="A31" s="4"/>
      <c r="B31" s="4"/>
      <c r="C31" s="4"/>
      <c r="D31" s="4"/>
      <c r="E31" s="4"/>
      <c r="F31" s="5"/>
      <c r="G31" s="42"/>
      <c r="H31" s="42"/>
      <c r="I31" s="38"/>
    </row>
    <row r="32" spans="1:9">
      <c r="A32" s="4"/>
      <c r="B32" s="4"/>
      <c r="C32" s="4"/>
      <c r="D32" s="4"/>
      <c r="E32" s="4"/>
      <c r="F32" s="5"/>
      <c r="G32" s="42"/>
      <c r="H32" s="42"/>
      <c r="I32" s="38"/>
    </row>
    <row r="33" spans="1:9">
      <c r="A33" s="4"/>
      <c r="B33" s="4"/>
      <c r="C33" s="4"/>
      <c r="D33" s="4"/>
      <c r="E33" s="4"/>
      <c r="F33" s="5"/>
      <c r="G33" s="42"/>
      <c r="H33" s="42"/>
      <c r="I33" s="38"/>
    </row>
    <row r="34" spans="1:9">
      <c r="A34" s="4"/>
      <c r="B34" s="4"/>
      <c r="C34" s="4"/>
      <c r="D34" s="4"/>
      <c r="E34" s="4"/>
      <c r="F34" s="5"/>
      <c r="G34" s="42"/>
      <c r="H34" s="42"/>
      <c r="I34" s="38"/>
    </row>
    <row r="35" spans="1:9">
      <c r="A35" s="4"/>
      <c r="B35" s="4"/>
      <c r="C35" s="4"/>
      <c r="D35" s="4"/>
      <c r="E35" s="4"/>
      <c r="F35" s="5"/>
      <c r="G35" s="42"/>
      <c r="H35" s="42"/>
      <c r="I35" s="38"/>
    </row>
    <row r="36" spans="1:9">
      <c r="A36" s="4"/>
      <c r="B36" s="4"/>
      <c r="C36" s="4"/>
      <c r="D36" s="4"/>
      <c r="E36" s="4"/>
      <c r="F36" s="5"/>
      <c r="G36" s="42"/>
      <c r="H36" s="42"/>
      <c r="I36" s="38"/>
    </row>
    <row r="37" spans="1:9">
      <c r="A37" s="4"/>
      <c r="B37" s="4"/>
      <c r="C37" s="4"/>
      <c r="D37" s="4"/>
      <c r="E37" s="4"/>
      <c r="F37" s="5"/>
      <c r="G37" s="42"/>
      <c r="H37" s="42"/>
      <c r="I37" s="38"/>
    </row>
    <row r="38" spans="1:9">
      <c r="A38" s="4"/>
      <c r="B38" s="4"/>
      <c r="C38" s="4"/>
      <c r="D38" s="4"/>
      <c r="E38" s="4"/>
      <c r="F38" s="5"/>
      <c r="G38" s="42"/>
      <c r="H38" s="42"/>
      <c r="I38" s="38"/>
    </row>
    <row r="39" spans="1:9">
      <c r="A39" s="4"/>
      <c r="B39" s="4"/>
      <c r="C39" s="4"/>
      <c r="D39" s="4"/>
      <c r="E39" s="4"/>
      <c r="F39" s="5"/>
      <c r="G39" s="42"/>
      <c r="H39" s="42"/>
      <c r="I39" s="38"/>
    </row>
    <row r="40" spans="1:9">
      <c r="A40" s="4"/>
      <c r="B40" s="38"/>
      <c r="C40" s="38"/>
      <c r="D40" s="38"/>
      <c r="E40" s="38"/>
      <c r="F40" s="38"/>
      <c r="G40" s="42"/>
      <c r="H40" s="42"/>
      <c r="I40" s="38"/>
    </row>
    <row r="41" spans="1:9">
      <c r="A41" s="4"/>
      <c r="B41" s="38"/>
      <c r="C41" s="38"/>
      <c r="D41" s="38"/>
      <c r="E41" s="38"/>
      <c r="F41" s="38"/>
      <c r="G41" s="42"/>
      <c r="H41" s="42"/>
      <c r="I41" s="38"/>
    </row>
    <row r="42" spans="1:9">
      <c r="A42" s="38"/>
      <c r="B42" s="38"/>
      <c r="C42" s="38"/>
      <c r="D42" s="38"/>
      <c r="E42" s="38"/>
      <c r="F42" s="38"/>
      <c r="G42" s="42"/>
      <c r="H42" s="42"/>
      <c r="I42" s="38"/>
    </row>
    <row r="43" spans="1:9">
      <c r="A43" s="38"/>
      <c r="B43" s="38"/>
      <c r="C43" s="38"/>
      <c r="D43" s="38"/>
      <c r="E43" s="38"/>
      <c r="F43" s="38"/>
      <c r="G43" s="42"/>
      <c r="H43" s="42"/>
      <c r="I43" s="38"/>
    </row>
    <row r="44" spans="1:9">
      <c r="A44" s="38"/>
      <c r="B44" s="38"/>
      <c r="C44" s="38"/>
      <c r="D44" s="38"/>
      <c r="E44" s="38"/>
      <c r="F44" s="38"/>
      <c r="G44" s="42"/>
      <c r="H44" s="42"/>
      <c r="I44" s="38"/>
    </row>
    <row r="45" spans="1:9">
      <c r="A45" s="38"/>
      <c r="B45" s="38"/>
      <c r="C45" s="38"/>
      <c r="D45" s="38"/>
      <c r="E45" s="38"/>
      <c r="F45" s="38"/>
      <c r="G45" s="42"/>
      <c r="H45" s="42"/>
      <c r="I45" s="38"/>
    </row>
    <row r="46" spans="1:9">
      <c r="A46" s="38"/>
      <c r="B46" s="38"/>
      <c r="C46" s="38"/>
      <c r="D46" s="38"/>
      <c r="E46" s="38"/>
      <c r="F46" s="38"/>
      <c r="G46" s="42"/>
      <c r="H46" s="42"/>
      <c r="I46" s="38"/>
    </row>
    <row r="47" spans="1:9">
      <c r="A47" s="8" t="s">
        <v>241</v>
      </c>
      <c r="B47" s="7"/>
      <c r="C47" s="7"/>
      <c r="D47" s="7"/>
      <c r="E47" s="8" t="s">
        <v>241</v>
      </c>
      <c r="F47" s="7"/>
      <c r="G47" s="7"/>
      <c r="H47" s="7"/>
      <c r="I47" s="7"/>
    </row>
    <row r="49" spans="1:9" ht="25.5" customHeight="1">
      <c r="A49" s="50" t="s">
        <v>208</v>
      </c>
      <c r="B49" s="50"/>
      <c r="C49" s="50"/>
      <c r="D49" s="50"/>
      <c r="E49" s="50"/>
    </row>
    <row r="50" spans="1:9">
      <c r="A50" s="11" t="s">
        <v>236</v>
      </c>
      <c r="B50" s="12"/>
      <c r="C50" s="49"/>
      <c r="E50" s="11" t="s">
        <v>209</v>
      </c>
      <c r="F50" s="12"/>
      <c r="H50" s="11" t="s">
        <v>242</v>
      </c>
      <c r="I50" s="12"/>
    </row>
    <row r="51" spans="1:9" ht="24">
      <c r="A51" s="13" t="s">
        <v>1</v>
      </c>
      <c r="B51" s="14"/>
      <c r="C51" s="49"/>
      <c r="E51" s="13" t="s">
        <v>244</v>
      </c>
      <c r="F51" s="14"/>
      <c r="H51" s="43" t="s">
        <v>226</v>
      </c>
      <c r="I51" s="16"/>
    </row>
    <row r="52" spans="1:9">
      <c r="A52" s="13" t="s">
        <v>234</v>
      </c>
      <c r="B52" s="14"/>
      <c r="C52" s="49"/>
      <c r="E52" s="13" t="s">
        <v>240</v>
      </c>
      <c r="F52" s="14"/>
    </row>
    <row r="53" spans="1:9">
      <c r="A53" s="13"/>
      <c r="B53" s="14"/>
      <c r="C53" s="49"/>
      <c r="E53" s="13" t="s">
        <v>212</v>
      </c>
      <c r="F53" s="14"/>
    </row>
    <row r="54" spans="1:9">
      <c r="A54" s="13"/>
      <c r="B54" s="14"/>
      <c r="C54" s="49"/>
      <c r="E54" s="13" t="s">
        <v>239</v>
      </c>
      <c r="F54" s="14"/>
    </row>
    <row r="55" spans="1:9">
      <c r="A55" s="13"/>
      <c r="B55" s="14"/>
      <c r="C55" s="49"/>
      <c r="E55" s="13" t="s">
        <v>245</v>
      </c>
      <c r="F55" s="14"/>
    </row>
    <row r="56" spans="1:9">
      <c r="A56" s="13"/>
      <c r="B56" s="14"/>
      <c r="C56" s="49"/>
      <c r="E56" s="13"/>
      <c r="F56" s="14"/>
    </row>
    <row r="57" spans="1:9">
      <c r="A57" s="13"/>
      <c r="B57" s="14"/>
      <c r="C57" s="49"/>
      <c r="E57" s="13"/>
      <c r="F57" s="14"/>
    </row>
    <row r="58" spans="1:9">
      <c r="A58" s="13"/>
      <c r="B58" s="14"/>
      <c r="C58" s="49"/>
      <c r="E58" s="13"/>
      <c r="F58" s="14"/>
    </row>
    <row r="59" spans="1:9">
      <c r="A59" s="13"/>
      <c r="B59" s="14"/>
      <c r="C59" s="49"/>
      <c r="E59" s="15"/>
      <c r="F59" s="16"/>
    </row>
    <row r="60" spans="1:9">
      <c r="A60" s="13"/>
      <c r="B60" s="14"/>
      <c r="C60" s="49"/>
    </row>
    <row r="61" spans="1:9">
      <c r="A61" s="13"/>
      <c r="B61" s="14"/>
      <c r="C61" s="49"/>
    </row>
    <row r="62" spans="1:9">
      <c r="A62" s="13"/>
      <c r="B62" s="14"/>
      <c r="C62" s="49"/>
    </row>
    <row r="63" spans="1:9">
      <c r="A63" s="13"/>
      <c r="B63" s="14"/>
      <c r="C63" s="49"/>
    </row>
    <row r="64" spans="1:9">
      <c r="A64" s="13"/>
      <c r="B64" s="14"/>
      <c r="C64" s="49"/>
    </row>
    <row r="65" spans="1:3">
      <c r="A65" s="15"/>
      <c r="B65" s="16"/>
      <c r="C65" s="49"/>
    </row>
  </sheetData>
  <autoFilter ref="A1:I47" xr:uid="{8D543BC0-4989-4A49-874B-27E66C136F7D}"/>
  <mergeCells count="1">
    <mergeCell ref="A49:E49"/>
  </mergeCells>
  <phoneticPr fontId="2" type="noConversion"/>
  <dataValidations count="2">
    <dataValidation type="list" allowBlank="1" showInputMessage="1" showErrorMessage="1" sqref="E2:E46" xr:uid="{6F77A9D7-D903-4E72-A990-B5FEFAC8A06D}">
      <formula1>$A$51:$A$65</formula1>
    </dataValidation>
    <dataValidation type="list" allowBlank="1" showInputMessage="1" showErrorMessage="1" sqref="F2:F46" xr:uid="{AF7BC20E-8927-4477-8BF7-333E9632F267}">
      <formula1>$E$51:$E$59</formula1>
    </dataValidation>
  </dataValidations>
  <pageMargins left="0.5" right="0.5" top="1" bottom="1" header="0.5" footer="0.5"/>
  <pageSetup orientation="landscape" r:id="rId1"/>
  <headerFooter alignWithMargins="0">
    <oddHeader>&amp;C&amp;"Arial,Bold"Test Case Planning and Execution
&amp;A</oddHeader>
    <oddFooter>&amp;L&amp;"Arial,Italic"&amp;8&amp;D &amp;T&amp;C&amp;"Arial,Italic"&amp;8&amp;F&amp;R&amp;"Arial,Italic"&amp;8Page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79047-2CE8-4F7B-9174-8A0DF37DAD3B}">
  <dimension ref="A1:I232"/>
  <sheetViews>
    <sheetView workbookViewId="0">
      <pane xSplit="1" ySplit="1" topLeftCell="B49" activePane="bottomRight" state="frozen"/>
      <selection pane="bottomRight" activeCell="F63" sqref="F63"/>
      <selection pane="bottomLeft" activeCell="A2" sqref="A2"/>
      <selection pane="topRight" activeCell="B1" sqref="B1"/>
    </sheetView>
  </sheetViews>
  <sheetFormatPr defaultRowHeight="12.75"/>
  <cols>
    <col min="1" max="1" width="10.28515625" customWidth="1"/>
    <col min="2" max="2" width="26.7109375" customWidth="1"/>
    <col min="3" max="3" width="13.85546875" customWidth="1"/>
    <col min="4" max="4" width="10.7109375" customWidth="1"/>
    <col min="5" max="5" width="12" customWidth="1"/>
    <col min="6" max="6" width="18.42578125" customWidth="1"/>
    <col min="7" max="9" width="15.85546875" customWidth="1"/>
  </cols>
  <sheetData>
    <row r="1" spans="1:9" ht="24">
      <c r="A1" s="45" t="s">
        <v>23</v>
      </c>
      <c r="B1" s="45" t="s">
        <v>89</v>
      </c>
      <c r="C1" s="45" t="s">
        <v>247</v>
      </c>
      <c r="D1" s="45" t="s">
        <v>248</v>
      </c>
      <c r="E1" s="45" t="s">
        <v>236</v>
      </c>
      <c r="F1" s="45" t="s">
        <v>92</v>
      </c>
      <c r="G1" s="45" t="s">
        <v>97</v>
      </c>
      <c r="H1" s="45" t="s">
        <v>98</v>
      </c>
      <c r="I1" s="37" t="s">
        <v>99</v>
      </c>
    </row>
    <row r="2" spans="1:9" ht="36">
      <c r="A2" s="4" t="str">
        <f>'Sprint 1'!A2</f>
        <v>TC01.1</v>
      </c>
      <c r="B2" s="4" t="str">
        <f>'Sprint 1'!B2</f>
        <v>Đăng ký hợp lệ</v>
      </c>
      <c r="C2" s="4" t="str">
        <f>'Sprint 1'!$H$49</f>
        <v>Sprint 1 (Auth)</v>
      </c>
      <c r="D2" s="4" t="str">
        <f>'Sprint 1'!D2</f>
        <v>Yes</v>
      </c>
      <c r="E2" s="4" t="str">
        <f>'Sprint 1'!E2</f>
        <v>Linh Le</v>
      </c>
      <c r="F2" s="4" t="str">
        <f>'Sprint 1'!F2</f>
        <v>Run - Passed</v>
      </c>
      <c r="G2" s="4" t="str">
        <f>'Test Case List'!L2</f>
        <v>Auth</v>
      </c>
      <c r="H2" s="4" t="str">
        <f>'Test Case List'!M2</f>
        <v>High</v>
      </c>
      <c r="I2" s="4" t="str">
        <f>'Test Case List'!N2</f>
        <v>Functional Testing</v>
      </c>
    </row>
    <row r="3" spans="1:9" ht="24">
      <c r="A3" s="4" t="str">
        <f>'Sprint 1'!A3</f>
        <v>TC01.2</v>
      </c>
      <c r="B3" s="4" t="str">
        <f>'Sprint 1'!B3</f>
        <v>Đăng ký email trùng với user đã tồn tại trong hệ thống</v>
      </c>
      <c r="C3" s="4" t="str">
        <f>'Sprint 1'!$H$49</f>
        <v>Sprint 1 (Auth)</v>
      </c>
      <c r="D3" s="4" t="str">
        <f>'Sprint 1'!D3</f>
        <v>Yes</v>
      </c>
      <c r="E3" s="4" t="str">
        <f>'Sprint 1'!E3</f>
        <v>Linh Le</v>
      </c>
      <c r="F3" s="4" t="str">
        <f>'Sprint 1'!F3</f>
        <v>Run - Passed</v>
      </c>
      <c r="G3" s="4" t="str">
        <f>'Test Case List'!L3</f>
        <v>Auth</v>
      </c>
      <c r="H3" s="4" t="str">
        <f>'Test Case List'!M3</f>
        <v>High</v>
      </c>
      <c r="I3" s="4" t="str">
        <f>'Test Case List'!N3</f>
        <v>Functional Testing</v>
      </c>
    </row>
    <row r="4" spans="1:9" ht="24">
      <c r="A4" s="4" t="str">
        <f>'Sprint 1'!A4</f>
        <v>TC01.3</v>
      </c>
      <c r="B4" s="4" t="str">
        <f>'Sprint 1'!B4</f>
        <v>Đăng ký bỏ trống trường email hoặc trường password</v>
      </c>
      <c r="C4" s="4" t="str">
        <f>'Sprint 1'!$H$49</f>
        <v>Sprint 1 (Auth)</v>
      </c>
      <c r="D4" s="4" t="str">
        <f>'Sprint 1'!D4</f>
        <v>Yes</v>
      </c>
      <c r="E4" s="4" t="str">
        <f>'Sprint 1'!E4</f>
        <v>Linh Le</v>
      </c>
      <c r="F4" s="4" t="str">
        <f>'Sprint 1'!F4</f>
        <v>Run - Passed</v>
      </c>
      <c r="G4" s="4" t="str">
        <f>'Test Case List'!L4</f>
        <v>Auth</v>
      </c>
      <c r="H4" s="4" t="str">
        <f>'Test Case List'!M4</f>
        <v>High</v>
      </c>
      <c r="I4" s="4" t="str">
        <f>'Test Case List'!N4</f>
        <v>Functional Testing</v>
      </c>
    </row>
    <row r="5" spans="1:9">
      <c r="A5" s="4" t="str">
        <f>'Sprint 1'!A5</f>
        <v>TC02.1</v>
      </c>
      <c r="B5" s="4" t="str">
        <f>'Sprint 1'!B5</f>
        <v>Đăng nhập hợp lệ</v>
      </c>
      <c r="C5" s="4" t="str">
        <f>'Sprint 1'!$H$49</f>
        <v>Sprint 1 (Auth)</v>
      </c>
      <c r="D5" s="4" t="str">
        <f>'Sprint 1'!D5</f>
        <v>Yes</v>
      </c>
      <c r="E5" s="4" t="str">
        <f>'Sprint 1'!E5</f>
        <v>Linh Le</v>
      </c>
      <c r="F5" s="4" t="str">
        <f>'Sprint 1'!F5</f>
        <v>Run - Passed</v>
      </c>
      <c r="G5" s="4" t="str">
        <f>'Test Case List'!L5</f>
        <v>Auth</v>
      </c>
      <c r="H5" s="4" t="str">
        <f>'Test Case List'!M5</f>
        <v>High</v>
      </c>
      <c r="I5" s="4" t="str">
        <f>'Test Case List'!N5</f>
        <v>Functional Testing</v>
      </c>
    </row>
    <row r="6" spans="1:9">
      <c r="A6" s="4" t="str">
        <f>'Sprint 1'!A6</f>
        <v>TC02.2</v>
      </c>
      <c r="B6" s="4" t="str">
        <f>'Sprint 1'!B6</f>
        <v>Đăng nhập sai pass</v>
      </c>
      <c r="C6" s="4" t="str">
        <f>'Sprint 1'!$H$49</f>
        <v>Sprint 1 (Auth)</v>
      </c>
      <c r="D6" s="4" t="str">
        <f>'Sprint 1'!D6</f>
        <v>Yes</v>
      </c>
      <c r="E6" s="4" t="str">
        <f>'Sprint 1'!E6</f>
        <v>Linh Le</v>
      </c>
      <c r="F6" s="4" t="str">
        <f>'Sprint 1'!F6</f>
        <v>Run - Passed</v>
      </c>
      <c r="G6" s="4" t="str">
        <f>'Test Case List'!L6</f>
        <v>Auth</v>
      </c>
      <c r="H6" s="4" t="str">
        <f>'Test Case List'!M6</f>
        <v>High</v>
      </c>
      <c r="I6" s="4" t="str">
        <f>'Test Case List'!N6</f>
        <v>Functional Testing</v>
      </c>
    </row>
    <row r="7" spans="1:9">
      <c r="A7" s="4" t="str">
        <f>'Sprint 1'!A7</f>
        <v>TC02.3</v>
      </c>
      <c r="B7" s="4" t="str">
        <f>'Sprint 1'!B7</f>
        <v>Đăng nhập sai email</v>
      </c>
      <c r="C7" s="4" t="str">
        <f>'Sprint 1'!$H$49</f>
        <v>Sprint 1 (Auth)</v>
      </c>
      <c r="D7" s="4" t="str">
        <f>'Sprint 1'!D7</f>
        <v>Yes</v>
      </c>
      <c r="E7" s="4" t="str">
        <f>'Sprint 1'!E7</f>
        <v>Linh Le</v>
      </c>
      <c r="F7" s="4" t="str">
        <f>'Sprint 1'!F7</f>
        <v>Run - Passed</v>
      </c>
      <c r="G7" s="4" t="str">
        <f>'Test Case List'!L7</f>
        <v>Auth</v>
      </c>
      <c r="H7" s="4" t="str">
        <f>'Test Case List'!M7</f>
        <v>High</v>
      </c>
      <c r="I7" s="4" t="str">
        <f>'Test Case List'!N7</f>
        <v>Functional Testing</v>
      </c>
    </row>
    <row r="8" spans="1:9" ht="24">
      <c r="A8" s="4" t="str">
        <f>'Sprint 1'!A8</f>
        <v>TC03.1</v>
      </c>
      <c r="B8" s="4" t="str">
        <f>'Sprint 1'!B8</f>
        <v>Kiểm tra UI form tạo bài viết có đủ các trường thông tin</v>
      </c>
      <c r="C8" s="4" t="str">
        <f>'Sprint 1'!$H$49</f>
        <v>Sprint 1 (Auth)</v>
      </c>
      <c r="D8" s="4" t="str">
        <f>'Sprint 1'!D8</f>
        <v>No</v>
      </c>
      <c r="E8" s="4" t="str">
        <f>'Sprint 1'!E8</f>
        <v>Linh Le</v>
      </c>
      <c r="F8" s="4" t="str">
        <f>'Sprint 1'!F8</f>
        <v>Blocked</v>
      </c>
      <c r="G8" s="4" t="str">
        <f>'Test Case List'!L8</f>
        <v>Article</v>
      </c>
      <c r="H8" s="4" t="str">
        <f>'Test Case List'!M8</f>
        <v>High</v>
      </c>
      <c r="I8" s="4" t="str">
        <f>'Test Case List'!N8</f>
        <v>Functional Testing</v>
      </c>
    </row>
    <row r="9" spans="1:9" ht="36">
      <c r="A9" s="4" t="str">
        <f>'Sprint 1'!A9</f>
        <v>TC03.2</v>
      </c>
      <c r="B9" s="4" t="str">
        <f>'Sprint 1'!B9</f>
        <v>Kiểm tra khi nhấn nút publish article nhưng bỏ trống các trường bắt buộc</v>
      </c>
      <c r="C9" s="4" t="str">
        <f>'Sprint 1'!$H$49</f>
        <v>Sprint 1 (Auth)</v>
      </c>
      <c r="D9" s="4" t="str">
        <f>'Sprint 1'!D9</f>
        <v>No</v>
      </c>
      <c r="E9" s="4" t="str">
        <f>'Sprint 1'!E9</f>
        <v>Linh Le</v>
      </c>
      <c r="F9" s="4" t="str">
        <f>'Sprint 1'!F9</f>
        <v>Blocked</v>
      </c>
      <c r="G9" s="4" t="str">
        <f>'Test Case List'!L9</f>
        <v>Article</v>
      </c>
      <c r="H9" s="4" t="str">
        <f>'Test Case List'!M9</f>
        <v>High</v>
      </c>
      <c r="I9" s="4" t="str">
        <f>'Test Case List'!N9</f>
        <v>Functional Testing</v>
      </c>
    </row>
    <row r="10" spans="1:9" ht="24">
      <c r="A10" s="4" t="str">
        <f>'Sprint 1'!A10</f>
        <v>TC03.3</v>
      </c>
      <c r="B10" s="4" t="str">
        <f>'Sprint 1'!B10</f>
        <v>Kiểm tra tạo bài viết với Title đã tồn tại</v>
      </c>
      <c r="C10" s="4" t="str">
        <f>'Sprint 1'!$H$49</f>
        <v>Sprint 1 (Auth)</v>
      </c>
      <c r="D10" s="4" t="str">
        <f>'Sprint 1'!D10</f>
        <v>No</v>
      </c>
      <c r="E10" s="4" t="str">
        <f>'Sprint 1'!E10</f>
        <v>Linh Le</v>
      </c>
      <c r="F10" s="4" t="str">
        <f>'Sprint 1'!F10</f>
        <v>Blocked</v>
      </c>
      <c r="G10" s="4" t="str">
        <f>'Test Case List'!L10</f>
        <v>Article</v>
      </c>
      <c r="H10" s="4" t="str">
        <f>'Test Case List'!M10</f>
        <v>High</v>
      </c>
      <c r="I10" s="4" t="str">
        <f>'Test Case List'!N10</f>
        <v>Functional Testing</v>
      </c>
    </row>
    <row r="11" spans="1:9" ht="24">
      <c r="A11" s="4" t="str">
        <f>'Sprint 1'!A11</f>
        <v>TC03.4</v>
      </c>
      <c r="B11" s="4" t="str">
        <f>'Sprint 1'!B11</f>
        <v>Kiểm tra số lượng ký tự giới hạn trong các fields</v>
      </c>
      <c r="C11" s="4" t="str">
        <f>'Sprint 1'!$H$49</f>
        <v>Sprint 1 (Auth)</v>
      </c>
      <c r="D11" s="4" t="str">
        <f>'Sprint 1'!D11</f>
        <v>No</v>
      </c>
      <c r="E11" s="4" t="str">
        <f>'Sprint 1'!E11</f>
        <v>Linh Le</v>
      </c>
      <c r="F11" s="4" t="str">
        <f>'Sprint 1'!F11</f>
        <v>Blocked</v>
      </c>
      <c r="G11" s="4" t="str">
        <f>'Test Case List'!L11</f>
        <v>Article</v>
      </c>
      <c r="H11" s="4" t="str">
        <f>'Test Case List'!M11</f>
        <v>High</v>
      </c>
      <c r="I11" s="4" t="str">
        <f>'Test Case List'!N11</f>
        <v>Functional Testing</v>
      </c>
    </row>
    <row r="12" spans="1:9" ht="48">
      <c r="A12" s="4" t="str">
        <f>'Sprint 1'!A12</f>
        <v>TC03.5</v>
      </c>
      <c r="B12" s="4" t="str">
        <f>'Sprint 1'!B12</f>
        <v>Kiểm tra bài viết hiển thị trên Global Feed,  My Article trong User Profile sau khi tạo</v>
      </c>
      <c r="C12" s="4" t="str">
        <f>'Sprint 1'!$H$49</f>
        <v>Sprint 1 (Auth)</v>
      </c>
      <c r="D12" s="4" t="str">
        <f>'Sprint 1'!D12</f>
        <v>No</v>
      </c>
      <c r="E12" s="4" t="str">
        <f>'Sprint 1'!E12</f>
        <v>Linh Le</v>
      </c>
      <c r="F12" s="4" t="str">
        <f>'Sprint 1'!F12</f>
        <v>Blocked</v>
      </c>
      <c r="G12" s="4" t="str">
        <f>'Test Case List'!L12</f>
        <v>Article</v>
      </c>
      <c r="H12" s="4" t="str">
        <f>'Test Case List'!M12</f>
        <v>High</v>
      </c>
      <c r="I12" s="4" t="str">
        <f>'Test Case List'!N12</f>
        <v>Functional Testing</v>
      </c>
    </row>
    <row r="13" spans="1:9">
      <c r="A13" s="4" t="str">
        <f>'Sprint 1'!A13</f>
        <v>TC04.1</v>
      </c>
      <c r="B13" s="4" t="str">
        <f>'Sprint 1'!B13</f>
        <v>Đọc chi tiết bài viết</v>
      </c>
      <c r="C13" s="4" t="str">
        <f>'Sprint 1'!$H$49</f>
        <v>Sprint 1 (Auth)</v>
      </c>
      <c r="D13" s="4" t="str">
        <f>'Sprint 1'!D13</f>
        <v>No</v>
      </c>
      <c r="E13" s="4" t="str">
        <f>'Sprint 1'!E13</f>
        <v>Linh Le</v>
      </c>
      <c r="F13" s="4" t="str">
        <f>'Sprint 1'!F13</f>
        <v>Blocked</v>
      </c>
      <c r="G13" s="4" t="str">
        <f>'Test Case List'!L13</f>
        <v>Article</v>
      </c>
      <c r="H13" s="4" t="str">
        <f>'Test Case List'!M13</f>
        <v>High</v>
      </c>
      <c r="I13" s="4" t="str">
        <f>'Test Case List'!N13</f>
        <v>Functional Testing</v>
      </c>
    </row>
    <row r="14" spans="1:9">
      <c r="A14" s="4" t="str">
        <f>'Sprint 1'!A14</f>
        <v>TC05.1</v>
      </c>
      <c r="B14" s="4" t="str">
        <f>'Sprint 1'!B14</f>
        <v>Cập nhật bài viết</v>
      </c>
      <c r="C14" s="4" t="str">
        <f>'Sprint 1'!$H$49</f>
        <v>Sprint 1 (Auth)</v>
      </c>
      <c r="D14" s="4" t="str">
        <f>'Sprint 1'!D14</f>
        <v>No</v>
      </c>
      <c r="E14" s="4" t="str">
        <f>'Sprint 1'!E14</f>
        <v>Linh Le</v>
      </c>
      <c r="F14" s="4" t="str">
        <f>'Sprint 1'!F14</f>
        <v>Blocked</v>
      </c>
      <c r="G14" s="4" t="str">
        <f>'Test Case List'!L14</f>
        <v>Article</v>
      </c>
      <c r="H14" s="4" t="str">
        <f>'Test Case List'!M14</f>
        <v>High</v>
      </c>
      <c r="I14" s="4" t="str">
        <f>'Test Case List'!N14</f>
        <v>Functional Testing</v>
      </c>
    </row>
    <row r="15" spans="1:9" ht="36">
      <c r="A15" s="4" t="str">
        <f>'Sprint 1'!A15</f>
        <v>TC05.2</v>
      </c>
      <c r="B15" s="4" t="str">
        <f>'Sprint 1'!B15</f>
        <v>Kiểm tra khi sửa bài viết cố ý bỏ trống các trường thông tin bắt buộc</v>
      </c>
      <c r="C15" s="4" t="str">
        <f>'Sprint 1'!$H$49</f>
        <v>Sprint 1 (Auth)</v>
      </c>
      <c r="D15" s="4" t="str">
        <f>'Sprint 1'!D15</f>
        <v>No</v>
      </c>
      <c r="E15" s="4" t="str">
        <f>'Sprint 1'!E15</f>
        <v>Linh Le</v>
      </c>
      <c r="F15" s="4" t="str">
        <f>'Sprint 1'!F15</f>
        <v>Blocked</v>
      </c>
      <c r="G15" s="4" t="str">
        <f>'Test Case List'!L15</f>
        <v>Article</v>
      </c>
      <c r="H15" s="4" t="str">
        <f>'Test Case List'!M15</f>
        <v>High</v>
      </c>
      <c r="I15" s="4" t="str">
        <f>'Test Case List'!N15</f>
        <v>Functional Testing</v>
      </c>
    </row>
    <row r="16" spans="1:9">
      <c r="A16" s="4" t="str">
        <f>'Sprint 1'!A16</f>
        <v>TC06.1</v>
      </c>
      <c r="B16" s="4" t="str">
        <f>'Sprint 1'!B16</f>
        <v>Xóa bài viết thành công</v>
      </c>
      <c r="C16" s="4" t="str">
        <f>'Sprint 1'!$H$49</f>
        <v>Sprint 1 (Auth)</v>
      </c>
      <c r="D16" s="4" t="str">
        <f>'Sprint 1'!D16</f>
        <v>No</v>
      </c>
      <c r="E16" s="4" t="str">
        <f>'Sprint 1'!E16</f>
        <v>Linh Le</v>
      </c>
      <c r="F16" s="4" t="str">
        <f>'Sprint 1'!F16</f>
        <v>Blocked</v>
      </c>
      <c r="G16" s="4" t="str">
        <f>'Test Case List'!L16</f>
        <v>Article</v>
      </c>
      <c r="H16" s="4" t="str">
        <f>'Test Case List'!M16</f>
        <v>High</v>
      </c>
      <c r="I16" s="4" t="str">
        <f>'Test Case List'!N16</f>
        <v>Functional Testing</v>
      </c>
    </row>
    <row r="17" spans="1:9" ht="24">
      <c r="A17" s="4" t="str">
        <f>'Sprint 1'!A17</f>
        <v>TC07.1</v>
      </c>
      <c r="B17" s="4" t="str">
        <f>'Sprint 1'!B17</f>
        <v>Thêm bình luận mới thành công</v>
      </c>
      <c r="C17" s="4" t="str">
        <f>'Sprint 1'!$H$49</f>
        <v>Sprint 1 (Auth)</v>
      </c>
      <c r="D17" s="4" t="str">
        <f>'Sprint 1'!D17</f>
        <v>No</v>
      </c>
      <c r="E17" s="4" t="str">
        <f>'Sprint 1'!E17</f>
        <v>Linh Le</v>
      </c>
      <c r="F17" s="4" t="str">
        <f>'Sprint 1'!F17</f>
        <v>Blocked</v>
      </c>
      <c r="G17" s="4" t="str">
        <f>'Test Case List'!L17</f>
        <v>Social</v>
      </c>
      <c r="H17" s="4" t="str">
        <f>'Test Case List'!M17</f>
        <v>High</v>
      </c>
      <c r="I17" s="4" t="str">
        <f>'Test Case List'!N17</f>
        <v>Functional Testing</v>
      </c>
    </row>
    <row r="18" spans="1:9">
      <c r="A18" s="4" t="str">
        <f>'Sprint 1'!A18</f>
        <v>TC07.2</v>
      </c>
      <c r="B18" s="4" t="str">
        <f>'Sprint 1'!B18</f>
        <v>Xóa bình luận</v>
      </c>
      <c r="C18" s="4" t="str">
        <f>'Sprint 1'!$H$49</f>
        <v>Sprint 1 (Auth)</v>
      </c>
      <c r="D18" s="4" t="str">
        <f>'Sprint 1'!D18</f>
        <v>No</v>
      </c>
      <c r="E18" s="4" t="str">
        <f>'Sprint 1'!E18</f>
        <v>Linh Le</v>
      </c>
      <c r="F18" s="4" t="str">
        <f>'Sprint 1'!F18</f>
        <v>Blocked</v>
      </c>
      <c r="G18" s="4" t="str">
        <f>'Test Case List'!L18</f>
        <v>Social</v>
      </c>
      <c r="H18" s="4" t="str">
        <f>'Test Case List'!M18</f>
        <v>High</v>
      </c>
      <c r="I18" s="4" t="str">
        <f>'Test Case List'!N18</f>
        <v>Functional Testing</v>
      </c>
    </row>
    <row r="19" spans="1:9">
      <c r="A19" s="4" t="str">
        <f>'Sprint 1'!A19</f>
        <v>TC08.1</v>
      </c>
      <c r="B19" s="4" t="str">
        <f>'Sprint 1'!B19</f>
        <v>Thả tim và bỏ thả tym bài viết</v>
      </c>
      <c r="C19" s="4" t="str">
        <f>'Sprint 1'!$H$49</f>
        <v>Sprint 1 (Auth)</v>
      </c>
      <c r="D19" s="4" t="str">
        <f>'Sprint 1'!D19</f>
        <v>No</v>
      </c>
      <c r="E19" s="4" t="str">
        <f>'Sprint 1'!E19</f>
        <v>Linh Le</v>
      </c>
      <c r="F19" s="4" t="str">
        <f>'Sprint 1'!F19</f>
        <v>Blocked</v>
      </c>
      <c r="G19" s="4" t="str">
        <f>'Test Case List'!L19</f>
        <v>Social</v>
      </c>
      <c r="H19" s="4" t="str">
        <f>'Test Case List'!M19</f>
        <v>High</v>
      </c>
      <c r="I19" s="4" t="str">
        <f>'Test Case List'!N19</f>
        <v>Functional Testing</v>
      </c>
    </row>
    <row r="20" spans="1:9">
      <c r="A20" s="4" t="str">
        <f>'Sprint 1'!A20</f>
        <v>TC09.1</v>
      </c>
      <c r="B20" s="4" t="str">
        <f>'Sprint 1'!B20</f>
        <v xml:space="preserve">Theo dõi tác giả có bài viết hay </v>
      </c>
      <c r="C20" s="4" t="str">
        <f>'Sprint 1'!$H$49</f>
        <v>Sprint 1 (Auth)</v>
      </c>
      <c r="D20" s="4" t="str">
        <f>'Sprint 1'!D20</f>
        <v>No</v>
      </c>
      <c r="E20" s="4" t="str">
        <f>'Sprint 1'!E20</f>
        <v>Linh Le</v>
      </c>
      <c r="F20" s="4" t="str">
        <f>'Sprint 1'!F20</f>
        <v>Blocked</v>
      </c>
      <c r="G20" s="4" t="str">
        <f>'Test Case List'!L20</f>
        <v>Social</v>
      </c>
      <c r="H20" s="4" t="str">
        <f>'Test Case List'!M20</f>
        <v>High</v>
      </c>
      <c r="I20" s="4" t="str">
        <f>'Test Case List'!N20</f>
        <v>Functional Testing</v>
      </c>
    </row>
    <row r="21" spans="1:9">
      <c r="A21" s="4" t="str">
        <f>'Sprint 1'!A21</f>
        <v>TC10.1</v>
      </c>
      <c r="B21" s="4" t="str">
        <f>'Sprint 1'!B21</f>
        <v>Kiểm tra tab My Articles</v>
      </c>
      <c r="C21" s="4" t="str">
        <f>'Sprint 1'!$H$49</f>
        <v>Sprint 1 (Auth)</v>
      </c>
      <c r="D21" s="4" t="str">
        <f>'Sprint 1'!D21</f>
        <v>No</v>
      </c>
      <c r="E21" s="4" t="str">
        <f>'Sprint 1'!E21</f>
        <v>Linh Le</v>
      </c>
      <c r="F21" s="4" t="str">
        <f>'Sprint 1'!F21</f>
        <v>Blocked</v>
      </c>
      <c r="G21" s="4" t="str">
        <f>'Test Case List'!L21</f>
        <v>Profile</v>
      </c>
      <c r="H21" s="4" t="str">
        <f>'Test Case List'!M21</f>
        <v>High</v>
      </c>
      <c r="I21" s="4" t="str">
        <f>'Test Case List'!N21</f>
        <v>Functional Testing</v>
      </c>
    </row>
    <row r="22" spans="1:9">
      <c r="A22" s="4" t="str">
        <f>'Sprint 1'!A22</f>
        <v>TC10.2</v>
      </c>
      <c r="B22" s="4" t="str">
        <f>'Sprint 1'!B22</f>
        <v>Kiểm tra tab Favorited Articles</v>
      </c>
      <c r="C22" s="4" t="str">
        <f>'Sprint 1'!$H$49</f>
        <v>Sprint 1 (Auth)</v>
      </c>
      <c r="D22" s="4" t="str">
        <f>'Sprint 1'!D22</f>
        <v>No</v>
      </c>
      <c r="E22" s="4" t="str">
        <f>'Sprint 1'!E22</f>
        <v>Linh Le</v>
      </c>
      <c r="F22" s="4" t="str">
        <f>'Sprint 1'!F22</f>
        <v>Blocked</v>
      </c>
      <c r="G22" s="4" t="str">
        <f>'Test Case List'!L22</f>
        <v>Profile</v>
      </c>
      <c r="H22" s="4" t="str">
        <f>'Test Case List'!M22</f>
        <v>High</v>
      </c>
      <c r="I22" s="4" t="str">
        <f>'Test Case List'!N22</f>
        <v>Functional Testing</v>
      </c>
    </row>
    <row r="23" spans="1:9" ht="33" customHeight="1">
      <c r="A23" s="4" t="str">
        <f>'Sprint 2'!A2</f>
        <v>TC01.1</v>
      </c>
      <c r="B23" s="4" t="str">
        <f>'Sprint 2'!B2</f>
        <v>Đăng ký hợp lệ</v>
      </c>
      <c r="C23" s="4" t="str">
        <f>'Sprint 2'!$H$52</f>
        <v>Sprint 2 (Article)</v>
      </c>
      <c r="D23" s="4" t="str">
        <f>'Sprint 2'!D2</f>
        <v>No</v>
      </c>
      <c r="E23" s="4" t="str">
        <f>'Sprint 2'!E2</f>
        <v>Linh Le</v>
      </c>
      <c r="F23" s="4" t="str">
        <f>'Sprint 2'!F2</f>
        <v>Not Run</v>
      </c>
      <c r="G23" s="4" t="str">
        <f>'Test Case List'!L2</f>
        <v>Auth</v>
      </c>
      <c r="H23" s="4" t="str">
        <f>'Test Case List'!M2</f>
        <v>High</v>
      </c>
      <c r="I23" s="4" t="str">
        <f>'Test Case List'!N2</f>
        <v>Functional Testing</v>
      </c>
    </row>
    <row r="24" spans="1:9" ht="24">
      <c r="A24" s="4" t="str">
        <f>'Sprint 2'!A3</f>
        <v>TC01.2</v>
      </c>
      <c r="B24" s="4" t="str">
        <f>'Sprint 2'!B3</f>
        <v>Đăng ký email trùng với user đã tồn tại trong hệ thống</v>
      </c>
      <c r="C24" s="4" t="str">
        <f>'Sprint 2'!$H$52</f>
        <v>Sprint 2 (Article)</v>
      </c>
      <c r="D24" s="4" t="str">
        <f>'Sprint 2'!D3</f>
        <v>No</v>
      </c>
      <c r="E24" s="4" t="str">
        <f>'Sprint 2'!E3</f>
        <v>Linh Le</v>
      </c>
      <c r="F24" s="4" t="str">
        <f>'Sprint 2'!F3</f>
        <v>Not Run</v>
      </c>
      <c r="G24" s="4" t="str">
        <f>'Test Case List'!L3</f>
        <v>Auth</v>
      </c>
      <c r="H24" s="4" t="str">
        <f>'Test Case List'!M3</f>
        <v>High</v>
      </c>
      <c r="I24" s="4" t="str">
        <f>'Test Case List'!N3</f>
        <v>Functional Testing</v>
      </c>
    </row>
    <row r="25" spans="1:9" ht="24">
      <c r="A25" s="4" t="str">
        <f>'Sprint 2'!A4</f>
        <v>TC01.3</v>
      </c>
      <c r="B25" s="4" t="str">
        <f>'Sprint 2'!B4</f>
        <v>Đăng ký bỏ trống trường email hoặc trường password</v>
      </c>
      <c r="C25" s="4" t="str">
        <f>'Sprint 2'!$H$52</f>
        <v>Sprint 2 (Article)</v>
      </c>
      <c r="D25" s="4" t="str">
        <f>'Sprint 2'!D4</f>
        <v>No</v>
      </c>
      <c r="E25" s="4" t="str">
        <f>'Sprint 2'!E4</f>
        <v>Linh Le</v>
      </c>
      <c r="F25" s="4" t="str">
        <f>'Sprint 2'!F4</f>
        <v>Not Run</v>
      </c>
      <c r="G25" s="4" t="str">
        <f>'Test Case List'!L4</f>
        <v>Auth</v>
      </c>
      <c r="H25" s="4" t="str">
        <f>'Test Case List'!M4</f>
        <v>High</v>
      </c>
      <c r="I25" s="4" t="str">
        <f>'Test Case List'!N4</f>
        <v>Functional Testing</v>
      </c>
    </row>
    <row r="26" spans="1:9" ht="24">
      <c r="A26" s="4" t="str">
        <f>'Sprint 2'!A5</f>
        <v>TC02.1</v>
      </c>
      <c r="B26" s="4" t="str">
        <f>'Sprint 2'!B5</f>
        <v>Đăng nhập hợp lệ</v>
      </c>
      <c r="C26" s="4" t="str">
        <f>'Sprint 2'!$H$52</f>
        <v>Sprint 2 (Article)</v>
      </c>
      <c r="D26" s="4" t="str">
        <f>'Sprint 2'!D5</f>
        <v>Yes</v>
      </c>
      <c r="E26" s="4" t="str">
        <f>'Sprint 2'!E5</f>
        <v>Linh Le</v>
      </c>
      <c r="F26" s="4" t="str">
        <f>'Sprint 2'!F5</f>
        <v>Run - Passed</v>
      </c>
      <c r="G26" s="4" t="str">
        <f>'Test Case List'!L5</f>
        <v>Auth</v>
      </c>
      <c r="H26" s="4" t="str">
        <f>'Test Case List'!M5</f>
        <v>High</v>
      </c>
      <c r="I26" s="4" t="str">
        <f>'Test Case List'!N5</f>
        <v>Functional Testing</v>
      </c>
    </row>
    <row r="27" spans="1:9" ht="24">
      <c r="A27" s="4" t="str">
        <f>'Sprint 2'!A6</f>
        <v>TC02.2</v>
      </c>
      <c r="B27" s="4" t="str">
        <f>'Sprint 2'!B6</f>
        <v>Đăng nhập sai pass</v>
      </c>
      <c r="C27" s="4" t="str">
        <f>'Sprint 2'!$H$52</f>
        <v>Sprint 2 (Article)</v>
      </c>
      <c r="D27" s="4" t="str">
        <f>'Sprint 2'!D6</f>
        <v>Yes</v>
      </c>
      <c r="E27" s="4" t="str">
        <f>'Sprint 2'!E6</f>
        <v>Linh Le</v>
      </c>
      <c r="F27" s="4" t="str">
        <f>'Sprint 2'!F6</f>
        <v>Run - Passed</v>
      </c>
      <c r="G27" s="4" t="str">
        <f>'Test Case List'!L6</f>
        <v>Auth</v>
      </c>
      <c r="H27" s="4" t="str">
        <f>'Test Case List'!M6</f>
        <v>High</v>
      </c>
      <c r="I27" s="4" t="str">
        <f>'Test Case List'!N6</f>
        <v>Functional Testing</v>
      </c>
    </row>
    <row r="28" spans="1:9" ht="24">
      <c r="A28" s="4" t="str">
        <f>'Sprint 2'!A7</f>
        <v>TC02.3</v>
      </c>
      <c r="B28" s="4" t="str">
        <f>'Sprint 2'!B7</f>
        <v>Đăng nhập sai email</v>
      </c>
      <c r="C28" s="4" t="str">
        <f>'Sprint 2'!$H$52</f>
        <v>Sprint 2 (Article)</v>
      </c>
      <c r="D28" s="4" t="str">
        <f>'Sprint 2'!D7</f>
        <v>Yes</v>
      </c>
      <c r="E28" s="4" t="str">
        <f>'Sprint 2'!E7</f>
        <v>Linh Le</v>
      </c>
      <c r="F28" s="4" t="str">
        <f>'Sprint 2'!F7</f>
        <v>Run - Passed</v>
      </c>
      <c r="G28" s="4" t="str">
        <f>'Test Case List'!L7</f>
        <v>Auth</v>
      </c>
      <c r="H28" s="4" t="str">
        <f>'Test Case List'!M7</f>
        <v>High</v>
      </c>
      <c r="I28" s="4" t="str">
        <f>'Test Case List'!N7</f>
        <v>Functional Testing</v>
      </c>
    </row>
    <row r="29" spans="1:9" ht="24">
      <c r="A29" s="4" t="str">
        <f>'Sprint 2'!A8</f>
        <v>TC03.1</v>
      </c>
      <c r="B29" s="4" t="str">
        <f>'Sprint 2'!B8</f>
        <v>Kiểm tra UI form tạo bài viết có đủ các trường thông tin</v>
      </c>
      <c r="C29" s="4" t="str">
        <f>'Sprint 2'!$H$52</f>
        <v>Sprint 2 (Article)</v>
      </c>
      <c r="D29" s="4" t="str">
        <f>'Sprint 2'!D8</f>
        <v>Yes</v>
      </c>
      <c r="E29" s="4" t="str">
        <f>'Sprint 2'!E8</f>
        <v>Linh Le</v>
      </c>
      <c r="F29" s="4" t="str">
        <f>'Sprint 2'!F8</f>
        <v>Run - Passed</v>
      </c>
      <c r="G29" s="4" t="str">
        <f>'Test Case List'!L8</f>
        <v>Article</v>
      </c>
      <c r="H29" s="4" t="str">
        <f>'Test Case List'!M8</f>
        <v>High</v>
      </c>
      <c r="I29" s="4" t="str">
        <f>'Test Case List'!N8</f>
        <v>Functional Testing</v>
      </c>
    </row>
    <row r="30" spans="1:9" ht="36">
      <c r="A30" s="4" t="str">
        <f>'Sprint 2'!A9</f>
        <v>TC03.2</v>
      </c>
      <c r="B30" s="4" t="str">
        <f>'Sprint 2'!B9</f>
        <v>Kiểm tra khi nhấn nút publish article nhưng bỏ trống các trường bắt buộc</v>
      </c>
      <c r="C30" s="4" t="str">
        <f>'Sprint 2'!$H$52</f>
        <v>Sprint 2 (Article)</v>
      </c>
      <c r="D30" s="4" t="str">
        <f>'Sprint 2'!D9</f>
        <v>Yes</v>
      </c>
      <c r="E30" s="4" t="str">
        <f>'Sprint 2'!E9</f>
        <v>Linh Le</v>
      </c>
      <c r="F30" s="4" t="str">
        <f>'Sprint 2'!F9</f>
        <v>Run - Passed</v>
      </c>
      <c r="G30" s="4" t="str">
        <f>'Test Case List'!L9</f>
        <v>Article</v>
      </c>
      <c r="H30" s="4" t="str">
        <f>'Test Case List'!M9</f>
        <v>High</v>
      </c>
      <c r="I30" s="4" t="str">
        <f>'Test Case List'!N9</f>
        <v>Functional Testing</v>
      </c>
    </row>
    <row r="31" spans="1:9" ht="24">
      <c r="A31" s="4" t="str">
        <f>'Sprint 2'!A10</f>
        <v>TC03.3</v>
      </c>
      <c r="B31" s="4" t="str">
        <f>'Sprint 2'!B10</f>
        <v>Kiểm tra tạo bài viết với Title đã tồn tại</v>
      </c>
      <c r="C31" s="4" t="str">
        <f>'Sprint 2'!$H$52</f>
        <v>Sprint 2 (Article)</v>
      </c>
      <c r="D31" s="4" t="str">
        <f>'Sprint 2'!D10</f>
        <v>Yes</v>
      </c>
      <c r="E31" s="4" t="str">
        <f>'Sprint 2'!E10</f>
        <v>Linh Le</v>
      </c>
      <c r="F31" s="4" t="str">
        <f>'Sprint 2'!F10</f>
        <v>Run - Failed</v>
      </c>
      <c r="G31" s="4" t="str">
        <f>'Test Case List'!L10</f>
        <v>Article</v>
      </c>
      <c r="H31" s="4" t="str">
        <f>'Test Case List'!M10</f>
        <v>High</v>
      </c>
      <c r="I31" s="4" t="str">
        <f>'Test Case List'!N10</f>
        <v>Functional Testing</v>
      </c>
    </row>
    <row r="32" spans="1:9" ht="24">
      <c r="A32" s="4" t="str">
        <f>'Sprint 2'!A11</f>
        <v>TC03.4</v>
      </c>
      <c r="B32" s="4" t="str">
        <f>'Sprint 2'!B11</f>
        <v>Kiểm tra số lượng ký tự giới hạn trong các fields</v>
      </c>
      <c r="C32" s="4" t="str">
        <f>'Sprint 2'!$H$52</f>
        <v>Sprint 2 (Article)</v>
      </c>
      <c r="D32" s="4" t="str">
        <f>'Sprint 2'!D11</f>
        <v>Yes</v>
      </c>
      <c r="E32" s="4" t="str">
        <f>'Sprint 2'!E11</f>
        <v>Linh Le</v>
      </c>
      <c r="F32" s="4" t="str">
        <f>'Sprint 2'!F11</f>
        <v>Run - Passed</v>
      </c>
      <c r="G32" s="4" t="str">
        <f>'Test Case List'!L11</f>
        <v>Article</v>
      </c>
      <c r="H32" s="4" t="str">
        <f>'Test Case List'!M11</f>
        <v>High</v>
      </c>
      <c r="I32" s="4" t="str">
        <f>'Test Case List'!N11</f>
        <v>Functional Testing</v>
      </c>
    </row>
    <row r="33" spans="1:9" ht="48">
      <c r="A33" s="4" t="str">
        <f>'Sprint 2'!A12</f>
        <v>TC03.5</v>
      </c>
      <c r="B33" s="4" t="str">
        <f>'Sprint 2'!B12</f>
        <v>Kiểm tra bài viết hiển thị trên Global Feed,  My Article trong User Profile sau khi tạo</v>
      </c>
      <c r="C33" s="4" t="str">
        <f>'Sprint 2'!$H$52</f>
        <v>Sprint 2 (Article)</v>
      </c>
      <c r="D33" s="4" t="str">
        <f>'Sprint 2'!D12</f>
        <v>Yes</v>
      </c>
      <c r="E33" s="4" t="str">
        <f>'Sprint 2'!E12</f>
        <v>Linh Le</v>
      </c>
      <c r="F33" s="4" t="str">
        <f>'Sprint 2'!F12</f>
        <v>Run - Passed</v>
      </c>
      <c r="G33" s="4" t="str">
        <f>'Test Case List'!L12</f>
        <v>Article</v>
      </c>
      <c r="H33" s="4" t="str">
        <f>'Test Case List'!M12</f>
        <v>High</v>
      </c>
      <c r="I33" s="4" t="str">
        <f>'Test Case List'!N12</f>
        <v>Functional Testing</v>
      </c>
    </row>
    <row r="34" spans="1:9" ht="24">
      <c r="A34" s="4" t="str">
        <f>'Sprint 2'!A13</f>
        <v>TC04.1</v>
      </c>
      <c r="B34" s="4" t="str">
        <f>'Sprint 2'!B13</f>
        <v>Đọc chi tiết bài viết</v>
      </c>
      <c r="C34" s="4" t="str">
        <f>'Sprint 2'!$H$52</f>
        <v>Sprint 2 (Article)</v>
      </c>
      <c r="D34" s="4" t="str">
        <f>'Sprint 2'!D13</f>
        <v>Yes</v>
      </c>
      <c r="E34" s="4" t="str">
        <f>'Sprint 2'!E13</f>
        <v>Linh Le</v>
      </c>
      <c r="F34" s="4" t="str">
        <f>'Sprint 2'!F13</f>
        <v>Run - Passed</v>
      </c>
      <c r="G34" s="4" t="str">
        <f>'Test Case List'!L13</f>
        <v>Article</v>
      </c>
      <c r="H34" s="4" t="str">
        <f>'Test Case List'!M13</f>
        <v>High</v>
      </c>
      <c r="I34" s="4" t="str">
        <f>'Test Case List'!N13</f>
        <v>Functional Testing</v>
      </c>
    </row>
    <row r="35" spans="1:9" ht="24">
      <c r="A35" s="4" t="str">
        <f>'Sprint 2'!A14</f>
        <v>TC05.1</v>
      </c>
      <c r="B35" s="4" t="str">
        <f>'Sprint 2'!B14</f>
        <v>Cập nhật bài viết</v>
      </c>
      <c r="C35" s="4" t="str">
        <f>'Sprint 2'!$H$52</f>
        <v>Sprint 2 (Article)</v>
      </c>
      <c r="D35" s="4" t="str">
        <f>'Sprint 2'!D14</f>
        <v>Yes</v>
      </c>
      <c r="E35" s="4" t="str">
        <f>'Sprint 2'!E14</f>
        <v>Linh Le</v>
      </c>
      <c r="F35" s="4" t="str">
        <f>'Sprint 2'!F14</f>
        <v>Run - Passed</v>
      </c>
      <c r="G35" s="4" t="str">
        <f>'Test Case List'!L14</f>
        <v>Article</v>
      </c>
      <c r="H35" s="4" t="str">
        <f>'Test Case List'!M14</f>
        <v>High</v>
      </c>
      <c r="I35" s="4" t="str">
        <f>'Test Case List'!N14</f>
        <v>Functional Testing</v>
      </c>
    </row>
    <row r="36" spans="1:9" ht="36">
      <c r="A36" s="4" t="str">
        <f>'Sprint 2'!A15</f>
        <v>TC05.2</v>
      </c>
      <c r="B36" s="4" t="str">
        <f>'Sprint 2'!B15</f>
        <v>Kiểm tra khi sửa bài viết cố ý bỏ trống các trường thông tin bắt buộc</v>
      </c>
      <c r="C36" s="4" t="str">
        <f>'Sprint 2'!$H$52</f>
        <v>Sprint 2 (Article)</v>
      </c>
      <c r="D36" s="4" t="str">
        <f>'Sprint 2'!D15</f>
        <v>Yes</v>
      </c>
      <c r="E36" s="4" t="str">
        <f>'Sprint 2'!E15</f>
        <v>Linh Le</v>
      </c>
      <c r="F36" s="4" t="str">
        <f>'Sprint 2'!F15</f>
        <v>Run - Passed</v>
      </c>
      <c r="G36" s="4" t="str">
        <f>'Test Case List'!L15</f>
        <v>Article</v>
      </c>
      <c r="H36" s="4" t="str">
        <f>'Test Case List'!M15</f>
        <v>High</v>
      </c>
      <c r="I36" s="4" t="str">
        <f>'Test Case List'!N15</f>
        <v>Functional Testing</v>
      </c>
    </row>
    <row r="37" spans="1:9" ht="24">
      <c r="A37" s="4" t="str">
        <f>'Sprint 2'!A16</f>
        <v>TC06.1</v>
      </c>
      <c r="B37" s="4" t="str">
        <f>'Sprint 2'!B16</f>
        <v>Xóa bài viết thành công</v>
      </c>
      <c r="C37" s="4" t="str">
        <f>'Sprint 2'!$H$52</f>
        <v>Sprint 2 (Article)</v>
      </c>
      <c r="D37" s="4" t="str">
        <f>'Sprint 2'!D16</f>
        <v>Yes</v>
      </c>
      <c r="E37" s="4" t="str">
        <f>'Sprint 2'!E16</f>
        <v>Linh Le</v>
      </c>
      <c r="F37" s="4" t="str">
        <f>'Sprint 2'!F16</f>
        <v>Run - Passed</v>
      </c>
      <c r="G37" s="4" t="str">
        <f>'Test Case List'!L16</f>
        <v>Article</v>
      </c>
      <c r="H37" s="4" t="str">
        <f>'Test Case List'!M16</f>
        <v>High</v>
      </c>
      <c r="I37" s="4" t="str">
        <f>'Test Case List'!N16</f>
        <v>Functional Testing</v>
      </c>
    </row>
    <row r="38" spans="1:9" ht="24">
      <c r="A38" s="4" t="str">
        <f>'Sprint 2'!A17</f>
        <v>TC07.1</v>
      </c>
      <c r="B38" s="4" t="str">
        <f>'Sprint 2'!B17</f>
        <v>Thêm bình luận mới thành công</v>
      </c>
      <c r="C38" s="4" t="str">
        <f>'Sprint 2'!$H$52</f>
        <v>Sprint 2 (Article)</v>
      </c>
      <c r="D38" s="4" t="str">
        <f>'Sprint 2'!D17</f>
        <v>No</v>
      </c>
      <c r="E38" s="4" t="str">
        <f>'Sprint 2'!E17</f>
        <v>Linh Le</v>
      </c>
      <c r="F38" s="4" t="str">
        <f>'Sprint 2'!F17</f>
        <v>Blocked</v>
      </c>
      <c r="G38" s="4" t="str">
        <f>'Test Case List'!L17</f>
        <v>Social</v>
      </c>
      <c r="H38" s="4" t="str">
        <f>'Test Case List'!M17</f>
        <v>High</v>
      </c>
      <c r="I38" s="4" t="str">
        <f>'Test Case List'!N17</f>
        <v>Functional Testing</v>
      </c>
    </row>
    <row r="39" spans="1:9" ht="24">
      <c r="A39" s="4" t="str">
        <f>'Sprint 2'!A18</f>
        <v>TC07.2</v>
      </c>
      <c r="B39" s="4" t="str">
        <f>'Sprint 2'!B18</f>
        <v>Xóa bình luận</v>
      </c>
      <c r="C39" s="4" t="str">
        <f>'Sprint 2'!$H$52</f>
        <v>Sprint 2 (Article)</v>
      </c>
      <c r="D39" s="4" t="str">
        <f>'Sprint 2'!D18</f>
        <v>No</v>
      </c>
      <c r="E39" s="4" t="str">
        <f>'Sprint 2'!E18</f>
        <v>Linh Le</v>
      </c>
      <c r="F39" s="4" t="str">
        <f>'Sprint 2'!F18</f>
        <v>Blocked</v>
      </c>
      <c r="G39" s="4" t="str">
        <f>'Test Case List'!L18</f>
        <v>Social</v>
      </c>
      <c r="H39" s="4" t="str">
        <f>'Test Case List'!M18</f>
        <v>High</v>
      </c>
      <c r="I39" s="4" t="str">
        <f>'Test Case List'!N18</f>
        <v>Functional Testing</v>
      </c>
    </row>
    <row r="40" spans="1:9" ht="24">
      <c r="A40" s="4" t="str">
        <f>'Sprint 2'!A19</f>
        <v>TC08.1</v>
      </c>
      <c r="B40" s="4" t="str">
        <f>'Sprint 2'!B19</f>
        <v>Thả tim và bỏ thả tym bài viết</v>
      </c>
      <c r="C40" s="4" t="str">
        <f>'Sprint 2'!$H$52</f>
        <v>Sprint 2 (Article)</v>
      </c>
      <c r="D40" s="4" t="str">
        <f>'Sprint 2'!D19</f>
        <v>No</v>
      </c>
      <c r="E40" s="4" t="str">
        <f>'Sprint 2'!E19</f>
        <v>Linh Le</v>
      </c>
      <c r="F40" s="4" t="str">
        <f>'Sprint 2'!F19</f>
        <v>Blocked</v>
      </c>
      <c r="G40" s="4" t="str">
        <f>'Test Case List'!L19</f>
        <v>Social</v>
      </c>
      <c r="H40" s="4" t="str">
        <f>'Test Case List'!M19</f>
        <v>High</v>
      </c>
      <c r="I40" s="4" t="str">
        <f>'Test Case List'!N19</f>
        <v>Functional Testing</v>
      </c>
    </row>
    <row r="41" spans="1:9" ht="24">
      <c r="A41" s="4" t="str">
        <f>'Sprint 2'!A20</f>
        <v>TC09.1</v>
      </c>
      <c r="B41" s="4" t="str">
        <f>'Sprint 2'!B20</f>
        <v xml:space="preserve">Theo dõi tác giả có bài viết hay </v>
      </c>
      <c r="C41" s="4" t="str">
        <f>'Sprint 2'!$H$52</f>
        <v>Sprint 2 (Article)</v>
      </c>
      <c r="D41" s="4" t="str">
        <f>'Sprint 2'!D20</f>
        <v>No</v>
      </c>
      <c r="E41" s="4" t="str">
        <f>'Sprint 2'!E20</f>
        <v>Linh Le</v>
      </c>
      <c r="F41" s="4" t="str">
        <f>'Sprint 2'!F20</f>
        <v>Blocked</v>
      </c>
      <c r="G41" s="4" t="str">
        <f>'Test Case List'!L20</f>
        <v>Social</v>
      </c>
      <c r="H41" s="4" t="str">
        <f>'Test Case List'!M20</f>
        <v>High</v>
      </c>
      <c r="I41" s="4" t="str">
        <f>'Test Case List'!N20</f>
        <v>Functional Testing</v>
      </c>
    </row>
    <row r="42" spans="1:9" ht="24">
      <c r="A42" s="4" t="str">
        <f>'Sprint 2'!A21</f>
        <v>TC10.1</v>
      </c>
      <c r="B42" s="4" t="str">
        <f>'Sprint 2'!B21</f>
        <v>Kiểm tra tab My Articles</v>
      </c>
      <c r="C42" s="4" t="str">
        <f>'Sprint 2'!$H$52</f>
        <v>Sprint 2 (Article)</v>
      </c>
      <c r="D42" s="4" t="str">
        <f>'Sprint 2'!D21</f>
        <v>No</v>
      </c>
      <c r="E42" s="4" t="str">
        <f>'Sprint 2'!E21</f>
        <v>Linh Le</v>
      </c>
      <c r="F42" s="4" t="str">
        <f>'Sprint 2'!F21</f>
        <v>Blocked</v>
      </c>
      <c r="G42" s="4" t="str">
        <f>'Test Case List'!L21</f>
        <v>Profile</v>
      </c>
      <c r="H42" s="4" t="str">
        <f>'Test Case List'!M21</f>
        <v>High</v>
      </c>
      <c r="I42" s="4" t="str">
        <f>'Test Case List'!N21</f>
        <v>Functional Testing</v>
      </c>
    </row>
    <row r="43" spans="1:9" ht="24">
      <c r="A43" s="4" t="str">
        <f>'Sprint 2'!A22</f>
        <v>TC10.2</v>
      </c>
      <c r="B43" s="4" t="str">
        <f>'Sprint 2'!B22</f>
        <v>Kiểm tra tab Favorited Articles</v>
      </c>
      <c r="C43" s="4" t="str">
        <f>'Sprint 2'!$H$52</f>
        <v>Sprint 2 (Article)</v>
      </c>
      <c r="D43" s="4" t="str">
        <f>'Sprint 2'!D22</f>
        <v>No</v>
      </c>
      <c r="E43" s="4" t="str">
        <f>'Sprint 2'!E22</f>
        <v>Linh Le</v>
      </c>
      <c r="F43" s="4" t="str">
        <f>'Sprint 2'!F22</f>
        <v>Blocked</v>
      </c>
      <c r="G43" s="4" t="str">
        <f>'Test Case List'!L22</f>
        <v>Profile</v>
      </c>
      <c r="H43" s="4" t="str">
        <f>'Test Case List'!M22</f>
        <v>High</v>
      </c>
      <c r="I43" s="4" t="str">
        <f>'Test Case List'!N22</f>
        <v>Functional Testing</v>
      </c>
    </row>
    <row r="44" spans="1:9" ht="24">
      <c r="A44" s="4" t="str">
        <f>'Sprint 3'!A2</f>
        <v>TC01.1</v>
      </c>
      <c r="B44" s="4" t="str">
        <f>'Sprint 3'!B2</f>
        <v>Đăng ký hợp lệ</v>
      </c>
      <c r="C44" s="4" t="str">
        <f>'Sprint 3'!$H$51</f>
        <v>Sprint 3 (Social&amp;Profile)</v>
      </c>
      <c r="D44" s="4" t="str">
        <f>'Sprint 3'!D2</f>
        <v>Yes</v>
      </c>
      <c r="E44" s="4" t="str">
        <f>'Sprint 3'!E2</f>
        <v>Linh Le</v>
      </c>
      <c r="F44" s="4" t="str">
        <f>'Sprint 3'!F2</f>
        <v>Run - Passed</v>
      </c>
      <c r="G44" s="4" t="str">
        <f>'Test Case List'!L2</f>
        <v>Auth</v>
      </c>
      <c r="H44" s="4" t="str">
        <f>'Test Case List'!M2</f>
        <v>High</v>
      </c>
      <c r="I44" s="4" t="str">
        <f>'Test Case List'!N2</f>
        <v>Functional Testing</v>
      </c>
    </row>
    <row r="45" spans="1:9" ht="24">
      <c r="A45" s="4" t="str">
        <f>'Sprint 3'!A3</f>
        <v>TC01.2</v>
      </c>
      <c r="B45" s="4" t="str">
        <f>'Sprint 3'!B3</f>
        <v>Đăng ký email trùng với user đã tồn tại trong hệ thống</v>
      </c>
      <c r="C45" s="4" t="str">
        <f>'Sprint 3'!$H$51</f>
        <v>Sprint 3 (Social&amp;Profile)</v>
      </c>
      <c r="D45" s="4" t="str">
        <f>'Sprint 3'!D3</f>
        <v>No</v>
      </c>
      <c r="E45" s="4" t="str">
        <f>'Sprint 3'!E3</f>
        <v>Linh Le</v>
      </c>
      <c r="F45" s="4" t="str">
        <f>'Sprint 3'!F3</f>
        <v>Not Run</v>
      </c>
      <c r="G45" s="4" t="str">
        <f>'Test Case List'!L3</f>
        <v>Auth</v>
      </c>
      <c r="H45" s="4" t="str">
        <f>'Test Case List'!M3</f>
        <v>High</v>
      </c>
      <c r="I45" s="4" t="str">
        <f>'Test Case List'!N3</f>
        <v>Functional Testing</v>
      </c>
    </row>
    <row r="46" spans="1:9" ht="24">
      <c r="A46" s="4" t="str">
        <f>'Sprint 3'!A4</f>
        <v>TC01.3</v>
      </c>
      <c r="B46" s="4" t="str">
        <f>'Sprint 3'!B4</f>
        <v>Đăng ký bỏ trống trường email hoặc trường password</v>
      </c>
      <c r="C46" s="4" t="str">
        <f>'Sprint 3'!$H$51</f>
        <v>Sprint 3 (Social&amp;Profile)</v>
      </c>
      <c r="D46" s="4" t="str">
        <f>'Sprint 3'!D4</f>
        <v>No</v>
      </c>
      <c r="E46" s="4" t="str">
        <f>'Sprint 3'!E4</f>
        <v>Linh Le</v>
      </c>
      <c r="F46" s="4" t="str">
        <f>'Sprint 3'!F4</f>
        <v>Not Run</v>
      </c>
      <c r="G46" s="4" t="str">
        <f>'Test Case List'!L4</f>
        <v>Auth</v>
      </c>
      <c r="H46" s="4" t="str">
        <f>'Test Case List'!M4</f>
        <v>High</v>
      </c>
      <c r="I46" s="4" t="str">
        <f>'Test Case List'!N4</f>
        <v>Functional Testing</v>
      </c>
    </row>
    <row r="47" spans="1:9" ht="24">
      <c r="A47" s="4" t="str">
        <f>'Sprint 3'!A5</f>
        <v>TC02.1</v>
      </c>
      <c r="B47" s="4" t="str">
        <f>'Sprint 3'!B5</f>
        <v>Đăng nhập hợp lệ</v>
      </c>
      <c r="C47" s="4" t="str">
        <f>'Sprint 3'!$H$51</f>
        <v>Sprint 3 (Social&amp;Profile)</v>
      </c>
      <c r="D47" s="4" t="str">
        <f>'Sprint 3'!D5</f>
        <v>Yes</v>
      </c>
      <c r="E47" s="4" t="str">
        <f>'Sprint 3'!E5</f>
        <v>Linh Le</v>
      </c>
      <c r="F47" s="4" t="str">
        <f>'Sprint 3'!F5</f>
        <v>Run - Passed</v>
      </c>
      <c r="G47" s="4" t="str">
        <f>'Test Case List'!L5</f>
        <v>Auth</v>
      </c>
      <c r="H47" s="4" t="str">
        <f>'Test Case List'!M5</f>
        <v>High</v>
      </c>
      <c r="I47" s="4" t="str">
        <f>'Test Case List'!N5</f>
        <v>Functional Testing</v>
      </c>
    </row>
    <row r="48" spans="1:9" ht="24">
      <c r="A48" s="4" t="str">
        <f>'Sprint 3'!A6</f>
        <v>TC02.2</v>
      </c>
      <c r="B48" s="4" t="str">
        <f>'Sprint 3'!B6</f>
        <v>Đăng nhập sai pass</v>
      </c>
      <c r="C48" s="4" t="str">
        <f>'Sprint 3'!$H$51</f>
        <v>Sprint 3 (Social&amp;Profile)</v>
      </c>
      <c r="D48" s="4" t="str">
        <f>'Sprint 3'!D6</f>
        <v>No</v>
      </c>
      <c r="E48" s="4" t="str">
        <f>'Sprint 3'!E6</f>
        <v>Linh Le</v>
      </c>
      <c r="F48" s="4" t="str">
        <f>'Sprint 3'!F6</f>
        <v>Not Run</v>
      </c>
      <c r="G48" s="4" t="str">
        <f>'Test Case List'!L6</f>
        <v>Auth</v>
      </c>
      <c r="H48" s="4" t="str">
        <f>'Test Case List'!M6</f>
        <v>High</v>
      </c>
      <c r="I48" s="4" t="str">
        <f>'Test Case List'!N6</f>
        <v>Functional Testing</v>
      </c>
    </row>
    <row r="49" spans="1:9" ht="24">
      <c r="A49" s="4" t="str">
        <f>'Sprint 3'!A7</f>
        <v>TC02.3</v>
      </c>
      <c r="B49" s="4" t="str">
        <f>'Sprint 3'!B7</f>
        <v>Đăng nhập sai email</v>
      </c>
      <c r="C49" s="4" t="str">
        <f>'Sprint 3'!$H$51</f>
        <v>Sprint 3 (Social&amp;Profile)</v>
      </c>
      <c r="D49" s="4" t="str">
        <f>'Sprint 3'!D7</f>
        <v>No</v>
      </c>
      <c r="E49" s="4" t="str">
        <f>'Sprint 3'!E7</f>
        <v>Linh Le</v>
      </c>
      <c r="F49" s="4" t="str">
        <f>'Sprint 3'!F7</f>
        <v>Not Run</v>
      </c>
      <c r="G49" s="4" t="str">
        <f>'Test Case List'!L7</f>
        <v>Auth</v>
      </c>
      <c r="H49" s="4" t="str">
        <f>'Test Case List'!M7</f>
        <v>High</v>
      </c>
      <c r="I49" s="4" t="str">
        <f>'Test Case List'!N7</f>
        <v>Functional Testing</v>
      </c>
    </row>
    <row r="50" spans="1:9" ht="24">
      <c r="A50" s="4" t="str">
        <f>'Sprint 3'!A8</f>
        <v>TC03.1</v>
      </c>
      <c r="B50" s="4" t="str">
        <f>'Sprint 3'!B8</f>
        <v>Kiểm tra UI form tạo bài viết có đủ các trường thông tin</v>
      </c>
      <c r="C50" s="4" t="str">
        <f>'Sprint 3'!$H$51</f>
        <v>Sprint 3 (Social&amp;Profile)</v>
      </c>
      <c r="D50" s="4" t="str">
        <f>'Sprint 3'!D8</f>
        <v>Yes</v>
      </c>
      <c r="E50" s="4" t="str">
        <f>'Sprint 3'!E8</f>
        <v>Linh Le</v>
      </c>
      <c r="F50" s="4" t="str">
        <f>'Sprint 3'!F8</f>
        <v>Run - Passed</v>
      </c>
      <c r="G50" s="4" t="str">
        <f>'Test Case List'!L8</f>
        <v>Article</v>
      </c>
      <c r="H50" s="4" t="str">
        <f>'Test Case List'!M8</f>
        <v>High</v>
      </c>
      <c r="I50" s="4" t="str">
        <f>'Test Case List'!N8</f>
        <v>Functional Testing</v>
      </c>
    </row>
    <row r="51" spans="1:9" ht="36">
      <c r="A51" s="4" t="str">
        <f>'Sprint 3'!A9</f>
        <v>TC03.2</v>
      </c>
      <c r="B51" s="4" t="str">
        <f>'Sprint 3'!B9</f>
        <v>Kiểm tra khi nhấn nút publish article nhưng bỏ trống các trường bắt buộc</v>
      </c>
      <c r="C51" s="4" t="str">
        <f>'Sprint 3'!$H$51</f>
        <v>Sprint 3 (Social&amp;Profile)</v>
      </c>
      <c r="D51" s="4" t="str">
        <f>'Sprint 3'!D9</f>
        <v>Yes</v>
      </c>
      <c r="E51" s="4" t="str">
        <f>'Sprint 3'!E9</f>
        <v>Linh Le</v>
      </c>
      <c r="F51" s="4" t="str">
        <f>'Sprint 3'!F9</f>
        <v>Run - Passed</v>
      </c>
      <c r="G51" s="4" t="str">
        <f>'Test Case List'!L9</f>
        <v>Article</v>
      </c>
      <c r="H51" s="4" t="str">
        <f>'Test Case List'!M9</f>
        <v>High</v>
      </c>
      <c r="I51" s="4" t="str">
        <f>'Test Case List'!N9</f>
        <v>Functional Testing</v>
      </c>
    </row>
    <row r="52" spans="1:9" ht="24">
      <c r="A52" s="4" t="str">
        <f>'Sprint 3'!A10</f>
        <v>TC03.3</v>
      </c>
      <c r="B52" s="4" t="str">
        <f>'Sprint 3'!B10</f>
        <v>Kiểm tra tạo bài viết với Title đã tồn tại</v>
      </c>
      <c r="C52" s="4" t="str">
        <f>'Sprint 3'!$H$51</f>
        <v>Sprint 3 (Social&amp;Profile)</v>
      </c>
      <c r="D52" s="4" t="str">
        <f>'Sprint 3'!D10</f>
        <v>Yes</v>
      </c>
      <c r="E52" s="4" t="str">
        <f>'Sprint 3'!E10</f>
        <v>Linh Le</v>
      </c>
      <c r="F52" s="4" t="str">
        <f>'Sprint 3'!F10</f>
        <v>Run - Passed</v>
      </c>
      <c r="G52" s="4" t="str">
        <f>'Test Case List'!L10</f>
        <v>Article</v>
      </c>
      <c r="H52" s="4" t="str">
        <f>'Test Case List'!M10</f>
        <v>High</v>
      </c>
      <c r="I52" s="4" t="str">
        <f>'Test Case List'!N10</f>
        <v>Functional Testing</v>
      </c>
    </row>
    <row r="53" spans="1:9" ht="24">
      <c r="A53" s="4" t="str">
        <f>'Sprint 3'!A11</f>
        <v>TC03.4</v>
      </c>
      <c r="B53" s="4" t="str">
        <f>'Sprint 3'!B11</f>
        <v>Kiểm tra số lượng ký tự giới hạn trong các fields</v>
      </c>
      <c r="C53" s="4" t="str">
        <f>'Sprint 3'!$H$51</f>
        <v>Sprint 3 (Social&amp;Profile)</v>
      </c>
      <c r="D53" s="4" t="str">
        <f>'Sprint 3'!D11</f>
        <v>Yes</v>
      </c>
      <c r="E53" s="4" t="str">
        <f>'Sprint 3'!E11</f>
        <v>Linh Le</v>
      </c>
      <c r="F53" s="4" t="str">
        <f>'Sprint 3'!F11</f>
        <v>Run - Failed</v>
      </c>
      <c r="G53" s="4" t="str">
        <f>'Test Case List'!L11</f>
        <v>Article</v>
      </c>
      <c r="H53" s="4" t="str">
        <f>'Test Case List'!M11</f>
        <v>High</v>
      </c>
      <c r="I53" s="4" t="str">
        <f>'Test Case List'!N11</f>
        <v>Functional Testing</v>
      </c>
    </row>
    <row r="54" spans="1:9" ht="48">
      <c r="A54" s="4" t="str">
        <f>'Sprint 3'!A12</f>
        <v>TC03.5</v>
      </c>
      <c r="B54" s="4" t="str">
        <f>'Sprint 3'!B12</f>
        <v>Kiểm tra bài viết hiển thị trên Global Feed,  My Article trong User Profile sau khi tạo</v>
      </c>
      <c r="C54" s="4" t="str">
        <f>'Sprint 3'!$H$51</f>
        <v>Sprint 3 (Social&amp;Profile)</v>
      </c>
      <c r="D54" s="4" t="str">
        <f>'Sprint 3'!D12</f>
        <v>Yes</v>
      </c>
      <c r="E54" s="4" t="str">
        <f>'Sprint 3'!E12</f>
        <v>Linh Le</v>
      </c>
      <c r="F54" s="4" t="str">
        <f>'Sprint 3'!F12</f>
        <v>Run - Passed</v>
      </c>
      <c r="G54" s="4" t="str">
        <f>'Test Case List'!L12</f>
        <v>Article</v>
      </c>
      <c r="H54" s="4" t="str">
        <f>'Test Case List'!M12</f>
        <v>High</v>
      </c>
      <c r="I54" s="4" t="str">
        <f>'Test Case List'!N12</f>
        <v>Functional Testing</v>
      </c>
    </row>
    <row r="55" spans="1:9" ht="24">
      <c r="A55" s="4" t="str">
        <f>'Sprint 3'!A13</f>
        <v>TC04.1</v>
      </c>
      <c r="B55" s="4" t="str">
        <f>'Sprint 3'!B13</f>
        <v>Đọc chi tiết bài viết</v>
      </c>
      <c r="C55" s="4" t="str">
        <f>'Sprint 3'!$H$51</f>
        <v>Sprint 3 (Social&amp;Profile)</v>
      </c>
      <c r="D55" s="4" t="str">
        <f>'Sprint 3'!D13</f>
        <v>Yes</v>
      </c>
      <c r="E55" s="4" t="str">
        <f>'Sprint 3'!E13</f>
        <v>Linh Le</v>
      </c>
      <c r="F55" s="4" t="str">
        <f>'Sprint 3'!F13</f>
        <v>Run - Passed</v>
      </c>
      <c r="G55" s="4" t="str">
        <f>'Test Case List'!L13</f>
        <v>Article</v>
      </c>
      <c r="H55" s="4" t="str">
        <f>'Test Case List'!M13</f>
        <v>High</v>
      </c>
      <c r="I55" s="4" t="str">
        <f>'Test Case List'!N13</f>
        <v>Functional Testing</v>
      </c>
    </row>
    <row r="56" spans="1:9" ht="24">
      <c r="A56" s="4" t="str">
        <f>'Sprint 3'!A14</f>
        <v>TC05.1</v>
      </c>
      <c r="B56" s="4" t="str">
        <f>'Sprint 3'!B14</f>
        <v>Cập nhật bài viết</v>
      </c>
      <c r="C56" s="4" t="str">
        <f>'Sprint 3'!$H$51</f>
        <v>Sprint 3 (Social&amp;Profile)</v>
      </c>
      <c r="D56" s="4" t="str">
        <f>'Sprint 3'!D14</f>
        <v>Yes</v>
      </c>
      <c r="E56" s="4" t="str">
        <f>'Sprint 3'!E14</f>
        <v>Linh Le</v>
      </c>
      <c r="F56" s="4" t="str">
        <f>'Sprint 3'!F14</f>
        <v>Run - Passed</v>
      </c>
      <c r="G56" s="4" t="str">
        <f>'Test Case List'!L14</f>
        <v>Article</v>
      </c>
      <c r="H56" s="4" t="str">
        <f>'Test Case List'!M14</f>
        <v>High</v>
      </c>
      <c r="I56" s="4" t="str">
        <f>'Test Case List'!N14</f>
        <v>Functional Testing</v>
      </c>
    </row>
    <row r="57" spans="1:9" ht="36">
      <c r="A57" s="4" t="str">
        <f>'Sprint 3'!A15</f>
        <v>TC05.2</v>
      </c>
      <c r="B57" s="4" t="str">
        <f>'Sprint 3'!B15</f>
        <v>Kiểm tra khi sửa bài viết cố ý bỏ trống các trường thông tin bắt buộc</v>
      </c>
      <c r="C57" s="4" t="str">
        <f>'Sprint 3'!$H$51</f>
        <v>Sprint 3 (Social&amp;Profile)</v>
      </c>
      <c r="D57" s="4" t="str">
        <f>'Sprint 3'!D15</f>
        <v>Yes</v>
      </c>
      <c r="E57" s="4" t="str">
        <f>'Sprint 3'!E15</f>
        <v>Linh Le</v>
      </c>
      <c r="F57" s="4" t="str">
        <f>'Sprint 3'!F15</f>
        <v>Run - Passed</v>
      </c>
      <c r="G57" s="4" t="str">
        <f>'Test Case List'!L15</f>
        <v>Article</v>
      </c>
      <c r="H57" s="4" t="str">
        <f>'Test Case List'!M15</f>
        <v>High</v>
      </c>
      <c r="I57" s="4" t="str">
        <f>'Test Case List'!N15</f>
        <v>Functional Testing</v>
      </c>
    </row>
    <row r="58" spans="1:9" ht="24">
      <c r="A58" s="4" t="str">
        <f>'Sprint 3'!A16</f>
        <v>TC06.1</v>
      </c>
      <c r="B58" s="4" t="str">
        <f>'Sprint 3'!B16</f>
        <v>Xóa bài viết thành công</v>
      </c>
      <c r="C58" s="4" t="str">
        <f>'Sprint 3'!$H$51</f>
        <v>Sprint 3 (Social&amp;Profile)</v>
      </c>
      <c r="D58" s="4" t="str">
        <f>'Sprint 3'!D16</f>
        <v>Yes</v>
      </c>
      <c r="E58" s="4" t="str">
        <f>'Sprint 3'!E16</f>
        <v>Linh Le</v>
      </c>
      <c r="F58" s="4" t="str">
        <f>'Sprint 3'!F16</f>
        <v>Run - Passed</v>
      </c>
      <c r="G58" s="4" t="str">
        <f>'Test Case List'!L16</f>
        <v>Article</v>
      </c>
      <c r="H58" s="4" t="str">
        <f>'Test Case List'!M16</f>
        <v>High</v>
      </c>
      <c r="I58" s="4" t="str">
        <f>'Test Case List'!N16</f>
        <v>Functional Testing</v>
      </c>
    </row>
    <row r="59" spans="1:9" ht="24">
      <c r="A59" s="4" t="str">
        <f>'Sprint 3'!A17</f>
        <v>TC07.1</v>
      </c>
      <c r="B59" s="4" t="str">
        <f>'Sprint 3'!B17</f>
        <v>Thêm bình luận mới thành công</v>
      </c>
      <c r="C59" s="4" t="str">
        <f>'Sprint 3'!$H$51</f>
        <v>Sprint 3 (Social&amp;Profile)</v>
      </c>
      <c r="D59" s="4" t="str">
        <f>'Sprint 3'!D17</f>
        <v>Yes</v>
      </c>
      <c r="E59" s="4" t="str">
        <f>'Sprint 3'!E17</f>
        <v>Linh Le</v>
      </c>
      <c r="F59" s="4" t="str">
        <f>'Sprint 3'!F17</f>
        <v>Run - Passed</v>
      </c>
      <c r="G59" s="4" t="str">
        <f>'Test Case List'!L17</f>
        <v>Social</v>
      </c>
      <c r="H59" s="4" t="str">
        <f>'Test Case List'!M17</f>
        <v>High</v>
      </c>
      <c r="I59" s="4" t="str">
        <f>'Test Case List'!N17</f>
        <v>Functional Testing</v>
      </c>
    </row>
    <row r="60" spans="1:9" ht="24">
      <c r="A60" s="4" t="str">
        <f>'Sprint 3'!A18</f>
        <v>TC07.2</v>
      </c>
      <c r="B60" s="4" t="str">
        <f>'Sprint 3'!B18</f>
        <v>Xóa bình luận</v>
      </c>
      <c r="C60" s="4" t="str">
        <f>'Sprint 3'!$H$51</f>
        <v>Sprint 3 (Social&amp;Profile)</v>
      </c>
      <c r="D60" s="4" t="str">
        <f>'Sprint 3'!D18</f>
        <v>Yes</v>
      </c>
      <c r="E60" s="4" t="str">
        <f>'Sprint 3'!E18</f>
        <v>Linh Le</v>
      </c>
      <c r="F60" s="4" t="str">
        <f>'Sprint 3'!F18</f>
        <v>Run - Passed</v>
      </c>
      <c r="G60" s="4" t="str">
        <f>'Test Case List'!L18</f>
        <v>Social</v>
      </c>
      <c r="H60" s="4" t="str">
        <f>'Test Case List'!M18</f>
        <v>High</v>
      </c>
      <c r="I60" s="4" t="str">
        <f>'Test Case List'!N18</f>
        <v>Functional Testing</v>
      </c>
    </row>
    <row r="61" spans="1:9" ht="24">
      <c r="A61" s="4" t="str">
        <f>'Sprint 3'!A19</f>
        <v>TC08.1</v>
      </c>
      <c r="B61" s="4" t="str">
        <f>'Sprint 3'!B19</f>
        <v>Thả tim và bỏ thả tym bài viết</v>
      </c>
      <c r="C61" s="4" t="str">
        <f>'Sprint 3'!$H$51</f>
        <v>Sprint 3 (Social&amp;Profile)</v>
      </c>
      <c r="D61" s="4" t="str">
        <f>'Sprint 3'!D19</f>
        <v>Yes</v>
      </c>
      <c r="E61" s="4" t="str">
        <f>'Sprint 3'!E19</f>
        <v>Linh Le</v>
      </c>
      <c r="F61" s="4" t="str">
        <f>'Sprint 3'!F19</f>
        <v>Run - Passed</v>
      </c>
      <c r="G61" s="4" t="str">
        <f>'Test Case List'!L19</f>
        <v>Social</v>
      </c>
      <c r="H61" s="4" t="str">
        <f>'Test Case List'!M19</f>
        <v>High</v>
      </c>
      <c r="I61" s="4" t="str">
        <f>'Test Case List'!N19</f>
        <v>Functional Testing</v>
      </c>
    </row>
    <row r="62" spans="1:9" ht="24">
      <c r="A62" s="4" t="str">
        <f>'Sprint 3'!A20</f>
        <v>TC09.1</v>
      </c>
      <c r="B62" s="4" t="str">
        <f>'Sprint 3'!B20</f>
        <v xml:space="preserve">Theo dõi tác giả có bài viết hay </v>
      </c>
      <c r="C62" s="4" t="str">
        <f>'Sprint 3'!$H$51</f>
        <v>Sprint 3 (Social&amp;Profile)</v>
      </c>
      <c r="D62" s="4" t="str">
        <f>'Sprint 3'!D20</f>
        <v>Yes</v>
      </c>
      <c r="E62" s="4" t="str">
        <f>'Sprint 3'!E20</f>
        <v>Linh Le</v>
      </c>
      <c r="F62" s="4" t="str">
        <f>'Sprint 3'!F20</f>
        <v>Run - Passed</v>
      </c>
      <c r="G62" s="4" t="str">
        <f>'Test Case List'!L20</f>
        <v>Social</v>
      </c>
      <c r="H62" s="4" t="str">
        <f>'Test Case List'!M20</f>
        <v>High</v>
      </c>
      <c r="I62" s="4" t="str">
        <f>'Test Case List'!N20</f>
        <v>Functional Testing</v>
      </c>
    </row>
    <row r="63" spans="1:9" ht="24">
      <c r="A63" s="4" t="str">
        <f>'Sprint 3'!A21</f>
        <v>TC10.1</v>
      </c>
      <c r="B63" s="4" t="str">
        <f>'Sprint 3'!B21</f>
        <v>Kiểm tra tab My Articles</v>
      </c>
      <c r="C63" s="4" t="str">
        <f>'Sprint 3'!$H$51</f>
        <v>Sprint 3 (Social&amp;Profile)</v>
      </c>
      <c r="D63" s="4" t="str">
        <f>'Sprint 3'!D21</f>
        <v>Yes</v>
      </c>
      <c r="E63" s="4" t="str">
        <f>'Sprint 3'!E21</f>
        <v>Linh Le</v>
      </c>
      <c r="F63" s="4" t="str">
        <f>'Sprint 3'!F21</f>
        <v>Run - Passed</v>
      </c>
      <c r="G63" s="4" t="str">
        <f>'Test Case List'!L21</f>
        <v>Profile</v>
      </c>
      <c r="H63" s="4" t="str">
        <f>'Test Case List'!M21</f>
        <v>High</v>
      </c>
      <c r="I63" s="4" t="str">
        <f>'Test Case List'!N21</f>
        <v>Functional Testing</v>
      </c>
    </row>
    <row r="64" spans="1:9" ht="24">
      <c r="A64" s="4" t="str">
        <f>'Sprint 3'!A22</f>
        <v>TC10.2</v>
      </c>
      <c r="B64" s="4" t="str">
        <f>'Sprint 3'!B22</f>
        <v>Kiểm tra tab Favorited Articles</v>
      </c>
      <c r="C64" s="4" t="str">
        <f>'Sprint 3'!$H$51</f>
        <v>Sprint 3 (Social&amp;Profile)</v>
      </c>
      <c r="D64" s="4" t="str">
        <f>'Sprint 3'!D22</f>
        <v>Yes</v>
      </c>
      <c r="E64" s="4" t="str">
        <f>'Sprint 3'!E22</f>
        <v>Linh Le</v>
      </c>
      <c r="F64" s="4" t="str">
        <f>'Sprint 3'!F22</f>
        <v>Run - Passed</v>
      </c>
      <c r="G64" s="4" t="str">
        <f>'Test Case List'!L22</f>
        <v>Profile</v>
      </c>
      <c r="H64" s="4" t="str">
        <f>'Test Case List'!M22</f>
        <v>High</v>
      </c>
      <c r="I64" s="4" t="str">
        <f>'Test Case List'!N22</f>
        <v>Functional Testing</v>
      </c>
    </row>
    <row r="65" spans="1:9">
      <c r="A65" s="4"/>
      <c r="B65" s="5"/>
      <c r="C65" s="4"/>
      <c r="D65" s="4"/>
      <c r="E65" s="5"/>
      <c r="F65" s="5"/>
      <c r="G65" s="4"/>
      <c r="H65" s="4"/>
      <c r="I65" s="4"/>
    </row>
    <row r="66" spans="1:9">
      <c r="A66" s="4"/>
      <c r="B66" s="5"/>
      <c r="C66" s="4"/>
      <c r="D66" s="4"/>
      <c r="E66" s="5"/>
      <c r="F66" s="5"/>
      <c r="G66" s="4"/>
      <c r="H66" s="4"/>
      <c r="I66" s="4"/>
    </row>
    <row r="67" spans="1:9">
      <c r="A67" s="4"/>
      <c r="B67" s="5"/>
      <c r="C67" s="4"/>
      <c r="D67" s="4"/>
      <c r="E67" s="5"/>
      <c r="F67" s="5"/>
      <c r="G67" s="4"/>
      <c r="H67" s="4"/>
      <c r="I67" s="4"/>
    </row>
    <row r="68" spans="1:9">
      <c r="A68" s="4"/>
      <c r="B68" s="5"/>
      <c r="C68" s="4"/>
      <c r="D68" s="4"/>
      <c r="E68" s="5"/>
      <c r="F68" s="5"/>
      <c r="G68" s="4"/>
      <c r="H68" s="4"/>
      <c r="I68" s="4"/>
    </row>
    <row r="69" spans="1:9">
      <c r="A69" s="4"/>
      <c r="B69" s="5"/>
      <c r="C69" s="4"/>
      <c r="D69" s="4"/>
      <c r="E69" s="5"/>
      <c r="F69" s="5"/>
      <c r="G69" s="4"/>
      <c r="H69" s="4"/>
      <c r="I69" s="4"/>
    </row>
    <row r="70" spans="1:9">
      <c r="A70" s="4"/>
      <c r="B70" s="5"/>
      <c r="C70" s="4"/>
      <c r="D70" s="4"/>
      <c r="E70" s="5"/>
      <c r="F70" s="5"/>
      <c r="G70" s="4"/>
      <c r="H70" s="4"/>
      <c r="I70" s="4"/>
    </row>
    <row r="71" spans="1:9">
      <c r="A71" s="4"/>
      <c r="B71" s="5"/>
      <c r="C71" s="4"/>
      <c r="D71" s="4"/>
      <c r="E71" s="5"/>
      <c r="F71" s="5"/>
      <c r="G71" s="4"/>
      <c r="H71" s="4"/>
      <c r="I71" s="4"/>
    </row>
    <row r="72" spans="1:9">
      <c r="A72" s="4"/>
      <c r="B72" s="5"/>
      <c r="C72" s="4"/>
      <c r="D72" s="4"/>
      <c r="E72" s="5"/>
      <c r="F72" s="5"/>
      <c r="G72" s="4"/>
      <c r="H72" s="4"/>
      <c r="I72" s="4"/>
    </row>
    <row r="73" spans="1:9">
      <c r="A73" s="4"/>
      <c r="B73" s="5"/>
      <c r="C73" s="4"/>
      <c r="D73" s="4"/>
      <c r="E73" s="5"/>
      <c r="F73" s="5"/>
      <c r="G73" s="4"/>
      <c r="H73" s="4"/>
      <c r="I73" s="4"/>
    </row>
    <row r="74" spans="1:9">
      <c r="A74" s="4"/>
      <c r="B74" s="5"/>
      <c r="C74" s="4"/>
      <c r="D74" s="4"/>
      <c r="E74" s="5"/>
      <c r="F74" s="5"/>
      <c r="G74" s="4"/>
      <c r="H74" s="4"/>
      <c r="I74" s="4"/>
    </row>
    <row r="75" spans="1:9">
      <c r="A75" s="4"/>
      <c r="B75" s="5"/>
      <c r="C75" s="4"/>
      <c r="D75" s="4"/>
      <c r="E75" s="5"/>
      <c r="F75" s="5"/>
      <c r="G75" s="4"/>
      <c r="H75" s="4"/>
      <c r="I75" s="4"/>
    </row>
    <row r="76" spans="1:9">
      <c r="A76" s="4"/>
      <c r="B76" s="5"/>
      <c r="C76" s="4"/>
      <c r="D76" s="4"/>
      <c r="E76" s="5"/>
      <c r="F76" s="5"/>
      <c r="G76" s="4"/>
      <c r="H76" s="4"/>
      <c r="I76" s="4"/>
    </row>
    <row r="77" spans="1:9">
      <c r="A77" s="4"/>
      <c r="B77" s="5"/>
      <c r="C77" s="4"/>
      <c r="D77" s="4"/>
      <c r="E77" s="5"/>
      <c r="F77" s="5"/>
      <c r="G77" s="4"/>
      <c r="H77" s="4"/>
      <c r="I77" s="4"/>
    </row>
    <row r="78" spans="1:9">
      <c r="A78" s="4"/>
      <c r="B78" s="5"/>
      <c r="C78" s="4"/>
      <c r="D78" s="4"/>
      <c r="E78" s="5"/>
      <c r="F78" s="5"/>
      <c r="G78" s="4"/>
      <c r="H78" s="4"/>
      <c r="I78" s="4"/>
    </row>
    <row r="79" spans="1:9">
      <c r="A79" s="4"/>
      <c r="B79" s="5"/>
      <c r="C79" s="4"/>
      <c r="D79" s="4"/>
      <c r="E79" s="5"/>
      <c r="F79" s="5"/>
      <c r="G79" s="4"/>
      <c r="H79" s="4"/>
      <c r="I79" s="4"/>
    </row>
    <row r="80" spans="1:9">
      <c r="A80" s="4"/>
      <c r="B80" s="5"/>
      <c r="C80" s="4"/>
      <c r="D80" s="4"/>
      <c r="E80" s="5"/>
      <c r="F80" s="5"/>
      <c r="G80" s="4"/>
      <c r="H80" s="4"/>
      <c r="I80" s="4"/>
    </row>
    <row r="81" spans="1:9">
      <c r="A81" s="4"/>
      <c r="B81" s="5"/>
      <c r="C81" s="4"/>
      <c r="D81" s="4"/>
      <c r="E81" s="5"/>
      <c r="F81" s="5"/>
      <c r="G81" s="4"/>
      <c r="H81" s="4"/>
      <c r="I81" s="4"/>
    </row>
    <row r="82" spans="1:9">
      <c r="A82" s="4"/>
      <c r="B82" s="5"/>
      <c r="C82" s="4"/>
      <c r="D82" s="4"/>
      <c r="E82" s="5"/>
      <c r="F82" s="5"/>
      <c r="G82" s="4"/>
      <c r="H82" s="4"/>
      <c r="I82" s="4"/>
    </row>
    <row r="83" spans="1:9">
      <c r="A83" s="4"/>
      <c r="B83" s="5"/>
      <c r="C83" s="4"/>
      <c r="D83" s="4"/>
      <c r="E83" s="5"/>
      <c r="F83" s="5"/>
      <c r="G83" s="4"/>
      <c r="H83" s="4"/>
      <c r="I83" s="4"/>
    </row>
    <row r="84" spans="1:9">
      <c r="A84" s="4"/>
      <c r="B84" s="5"/>
      <c r="C84" s="4"/>
      <c r="D84" s="4"/>
      <c r="E84" s="5"/>
      <c r="F84" s="5"/>
      <c r="G84" s="4"/>
      <c r="H84" s="4"/>
      <c r="I84" s="4"/>
    </row>
    <row r="85" spans="1:9">
      <c r="A85" s="4"/>
      <c r="B85" s="5"/>
      <c r="C85" s="4"/>
      <c r="D85" s="4"/>
      <c r="E85" s="5"/>
      <c r="F85" s="5"/>
      <c r="G85" s="4"/>
      <c r="H85" s="4"/>
      <c r="I85" s="4"/>
    </row>
    <row r="86" spans="1:9">
      <c r="A86" s="4"/>
      <c r="B86" s="5"/>
      <c r="C86" s="4"/>
      <c r="D86" s="4"/>
      <c r="E86" s="5"/>
      <c r="F86" s="5"/>
      <c r="G86" s="4"/>
      <c r="H86" s="4"/>
      <c r="I86" s="4"/>
    </row>
    <row r="87" spans="1:9">
      <c r="A87" s="4"/>
      <c r="B87" s="5"/>
      <c r="C87" s="4"/>
      <c r="D87" s="4"/>
      <c r="E87" s="5"/>
      <c r="F87" s="5"/>
      <c r="G87" s="4"/>
      <c r="H87" s="4"/>
      <c r="I87" s="4"/>
    </row>
    <row r="88" spans="1:9">
      <c r="A88" s="4"/>
      <c r="B88" s="5"/>
      <c r="C88" s="4"/>
      <c r="D88" s="4"/>
      <c r="E88" s="5"/>
      <c r="F88" s="5"/>
      <c r="G88" s="4"/>
      <c r="H88" s="4"/>
      <c r="I88" s="4"/>
    </row>
    <row r="89" spans="1:9">
      <c r="A89" s="4"/>
      <c r="B89" s="5"/>
      <c r="C89" s="4"/>
      <c r="D89" s="4"/>
      <c r="E89" s="5"/>
      <c r="F89" s="5"/>
      <c r="G89" s="4"/>
      <c r="H89" s="4"/>
      <c r="I89" s="4"/>
    </row>
    <row r="90" spans="1:9">
      <c r="A90" s="4"/>
      <c r="B90" s="5"/>
      <c r="C90" s="4"/>
      <c r="D90" s="4"/>
      <c r="E90" s="5"/>
      <c r="F90" s="5"/>
      <c r="G90" s="4"/>
      <c r="H90" s="4"/>
      <c r="I90" s="4"/>
    </row>
    <row r="91" spans="1:9">
      <c r="A91" s="4"/>
      <c r="B91" s="5"/>
      <c r="C91" s="4"/>
      <c r="D91" s="4"/>
      <c r="E91" s="5"/>
      <c r="F91" s="5"/>
      <c r="G91" s="4"/>
      <c r="H91" s="4"/>
      <c r="I91" s="4"/>
    </row>
    <row r="92" spans="1:9">
      <c r="A92" s="4"/>
      <c r="B92" s="5"/>
      <c r="C92" s="4"/>
      <c r="D92" s="4"/>
      <c r="E92" s="5"/>
      <c r="F92" s="5"/>
      <c r="G92" s="4"/>
      <c r="H92" s="4"/>
      <c r="I92" s="4"/>
    </row>
    <row r="93" spans="1:9">
      <c r="A93" s="4"/>
      <c r="B93" s="5"/>
      <c r="C93" s="4"/>
      <c r="D93" s="4"/>
      <c r="E93" s="5"/>
      <c r="F93" s="5"/>
      <c r="G93" s="4"/>
      <c r="H93" s="4"/>
      <c r="I93" s="4"/>
    </row>
    <row r="94" spans="1:9">
      <c r="A94" s="4"/>
      <c r="B94" s="5"/>
      <c r="C94" s="4"/>
      <c r="D94" s="4"/>
      <c r="E94" s="5"/>
      <c r="F94" s="5"/>
      <c r="G94" s="4"/>
      <c r="H94" s="4"/>
      <c r="I94" s="4"/>
    </row>
    <row r="95" spans="1:9">
      <c r="A95" s="4"/>
      <c r="B95" s="5"/>
      <c r="C95" s="4"/>
      <c r="D95" s="4"/>
      <c r="E95" s="5"/>
      <c r="F95" s="5"/>
      <c r="G95" s="4"/>
      <c r="H95" s="4"/>
      <c r="I95" s="4"/>
    </row>
    <row r="96" spans="1:9">
      <c r="A96" s="4"/>
      <c r="B96" s="5"/>
      <c r="C96" s="4"/>
      <c r="D96" s="4"/>
      <c r="E96" s="5"/>
      <c r="F96" s="5"/>
      <c r="G96" s="4"/>
      <c r="H96" s="4"/>
      <c r="I96" s="4"/>
    </row>
    <row r="97" spans="1:9">
      <c r="A97" s="4"/>
      <c r="B97" s="5"/>
      <c r="C97" s="4"/>
      <c r="D97" s="4"/>
      <c r="E97" s="5"/>
      <c r="F97" s="5"/>
      <c r="G97" s="4"/>
      <c r="H97" s="4"/>
      <c r="I97" s="4"/>
    </row>
    <row r="98" spans="1:9">
      <c r="A98" s="4"/>
      <c r="B98" s="5"/>
      <c r="C98" s="4"/>
      <c r="D98" s="4"/>
      <c r="E98" s="5"/>
      <c r="F98" s="5"/>
      <c r="G98" s="4"/>
      <c r="H98" s="4"/>
      <c r="I98" s="4"/>
    </row>
    <row r="99" spans="1:9">
      <c r="A99" s="4"/>
      <c r="B99" s="5"/>
      <c r="C99" s="4"/>
      <c r="D99" s="4"/>
      <c r="E99" s="5"/>
      <c r="F99" s="5"/>
      <c r="G99" s="4"/>
      <c r="H99" s="4"/>
      <c r="I99" s="4"/>
    </row>
    <row r="100" spans="1:9">
      <c r="A100" s="4"/>
      <c r="B100" s="5"/>
      <c r="C100" s="4"/>
      <c r="D100" s="4"/>
      <c r="E100" s="5"/>
      <c r="F100" s="5"/>
      <c r="G100" s="4"/>
      <c r="H100" s="4"/>
      <c r="I100" s="4"/>
    </row>
    <row r="101" spans="1:9">
      <c r="A101" s="4"/>
      <c r="B101" s="5"/>
      <c r="C101" s="4"/>
      <c r="D101" s="4"/>
      <c r="E101" s="5"/>
      <c r="F101" s="5"/>
      <c r="G101" s="4"/>
      <c r="H101" s="4"/>
      <c r="I101" s="4"/>
    </row>
    <row r="102" spans="1:9">
      <c r="A102" s="4"/>
      <c r="B102" s="5"/>
      <c r="C102" s="4"/>
      <c r="D102" s="4"/>
      <c r="E102" s="5"/>
      <c r="F102" s="5"/>
      <c r="G102" s="4"/>
      <c r="H102" s="4"/>
      <c r="I102" s="4"/>
    </row>
    <row r="103" spans="1:9">
      <c r="A103" s="4"/>
      <c r="B103" s="5"/>
      <c r="C103" s="4"/>
      <c r="D103" s="4"/>
      <c r="E103" s="5"/>
      <c r="F103" s="5"/>
      <c r="G103" s="4"/>
      <c r="H103" s="4"/>
      <c r="I103" s="4"/>
    </row>
    <row r="104" spans="1:9">
      <c r="A104" s="4"/>
      <c r="B104" s="5"/>
      <c r="C104" s="4"/>
      <c r="D104" s="4"/>
      <c r="E104" s="5"/>
      <c r="F104" s="5"/>
      <c r="G104" s="4"/>
      <c r="H104" s="4"/>
      <c r="I104" s="4"/>
    </row>
    <row r="105" spans="1:9">
      <c r="A105" s="4"/>
      <c r="B105" s="5"/>
      <c r="C105" s="4"/>
      <c r="D105" s="4"/>
      <c r="E105" s="5"/>
      <c r="F105" s="5"/>
      <c r="G105" s="4"/>
      <c r="H105" s="4"/>
      <c r="I105" s="4"/>
    </row>
    <row r="106" spans="1:9">
      <c r="A106" s="4"/>
      <c r="B106" s="5"/>
      <c r="C106" s="4"/>
      <c r="D106" s="4"/>
      <c r="E106" s="5"/>
      <c r="F106" s="5"/>
      <c r="G106" s="4"/>
      <c r="H106" s="4"/>
      <c r="I106" s="4"/>
    </row>
    <row r="107" spans="1:9">
      <c r="A107" s="4"/>
      <c r="B107" s="5"/>
      <c r="C107" s="4"/>
      <c r="D107" s="4"/>
      <c r="E107" s="5"/>
      <c r="F107" s="5"/>
      <c r="G107" s="4"/>
      <c r="H107" s="4"/>
      <c r="I107" s="4"/>
    </row>
    <row r="108" spans="1:9">
      <c r="A108" s="4"/>
      <c r="B108" s="5"/>
      <c r="C108" s="4"/>
      <c r="D108" s="4"/>
      <c r="E108" s="5"/>
      <c r="F108" s="5"/>
      <c r="G108" s="4"/>
      <c r="H108" s="4"/>
      <c r="I108" s="4"/>
    </row>
    <row r="109" spans="1:9">
      <c r="A109" s="4"/>
      <c r="B109" s="5"/>
      <c r="C109" s="4"/>
      <c r="D109" s="4"/>
      <c r="E109" s="5"/>
      <c r="F109" s="5"/>
      <c r="G109" s="4"/>
      <c r="H109" s="4"/>
      <c r="I109" s="4"/>
    </row>
    <row r="110" spans="1:9">
      <c r="A110" s="4"/>
      <c r="B110" s="5"/>
      <c r="C110" s="4"/>
      <c r="D110" s="4"/>
      <c r="E110" s="5"/>
      <c r="F110" s="5"/>
      <c r="G110" s="4"/>
      <c r="H110" s="4"/>
      <c r="I110" s="4"/>
    </row>
    <row r="111" spans="1:9">
      <c r="A111" s="4"/>
      <c r="B111" s="5"/>
      <c r="C111" s="4"/>
      <c r="D111" s="4"/>
      <c r="E111" s="5"/>
      <c r="F111" s="5"/>
      <c r="G111" s="4"/>
      <c r="H111" s="4"/>
      <c r="I111" s="4"/>
    </row>
    <row r="112" spans="1:9">
      <c r="A112" s="4"/>
      <c r="B112" s="5"/>
      <c r="C112" s="4"/>
      <c r="D112" s="4"/>
      <c r="E112" s="5"/>
      <c r="F112" s="5"/>
      <c r="G112" s="4"/>
      <c r="H112" s="4"/>
      <c r="I112" s="4"/>
    </row>
    <row r="113" spans="1:9">
      <c r="A113" s="4"/>
      <c r="B113" s="5"/>
      <c r="C113" s="4"/>
      <c r="D113" s="4"/>
      <c r="E113" s="5"/>
      <c r="F113" s="5"/>
      <c r="G113" s="4"/>
      <c r="H113" s="4"/>
      <c r="I113" s="4"/>
    </row>
    <row r="114" spans="1:9">
      <c r="A114" s="4"/>
      <c r="B114" s="5"/>
      <c r="C114" s="4"/>
      <c r="D114" s="4"/>
      <c r="E114" s="5"/>
      <c r="F114" s="5"/>
      <c r="G114" s="4"/>
      <c r="H114" s="4"/>
      <c r="I114" s="4"/>
    </row>
    <row r="115" spans="1:9">
      <c r="A115" s="4"/>
      <c r="B115" s="5"/>
      <c r="C115" s="4"/>
      <c r="D115" s="4"/>
      <c r="E115" s="5"/>
      <c r="F115" s="5"/>
      <c r="G115" s="4"/>
      <c r="H115" s="4"/>
      <c r="I115" s="4"/>
    </row>
    <row r="116" spans="1:9">
      <c r="A116" s="4"/>
      <c r="B116" s="5"/>
      <c r="C116" s="4"/>
      <c r="D116" s="4"/>
      <c r="E116" s="5"/>
      <c r="F116" s="5"/>
      <c r="G116" s="4"/>
      <c r="H116" s="4"/>
      <c r="I116" s="4"/>
    </row>
    <row r="117" spans="1:9">
      <c r="A117" s="4"/>
      <c r="B117" s="5"/>
      <c r="C117" s="4"/>
      <c r="D117" s="4"/>
      <c r="E117" s="5"/>
      <c r="F117" s="5"/>
      <c r="G117" s="4"/>
      <c r="H117" s="4"/>
      <c r="I117" s="4"/>
    </row>
    <row r="118" spans="1:9">
      <c r="A118" s="4"/>
      <c r="B118" s="5"/>
      <c r="C118" s="4"/>
      <c r="D118" s="4"/>
      <c r="E118" s="5"/>
      <c r="F118" s="5"/>
      <c r="G118" s="4"/>
      <c r="H118" s="4"/>
      <c r="I118" s="4"/>
    </row>
    <row r="119" spans="1:9">
      <c r="A119" s="4"/>
      <c r="B119" s="5"/>
      <c r="C119" s="4"/>
      <c r="D119" s="4"/>
      <c r="E119" s="5"/>
      <c r="F119" s="5"/>
      <c r="G119" s="4"/>
      <c r="H119" s="4"/>
      <c r="I119" s="4"/>
    </row>
    <row r="120" spans="1:9">
      <c r="A120" s="4"/>
      <c r="B120" s="5"/>
      <c r="C120" s="4"/>
      <c r="D120" s="4"/>
      <c r="E120" s="5"/>
      <c r="F120" s="5"/>
      <c r="G120" s="4"/>
      <c r="H120" s="4"/>
      <c r="I120" s="4"/>
    </row>
    <row r="121" spans="1:9">
      <c r="A121" s="4"/>
      <c r="B121" s="5"/>
      <c r="C121" s="4"/>
      <c r="D121" s="4"/>
      <c r="E121" s="5"/>
      <c r="F121" s="5"/>
      <c r="G121" s="4"/>
      <c r="H121" s="4"/>
      <c r="I121" s="4"/>
    </row>
    <row r="122" spans="1:9">
      <c r="A122" s="4"/>
      <c r="B122" s="5"/>
      <c r="C122" s="4"/>
      <c r="D122" s="4"/>
      <c r="E122" s="5"/>
      <c r="F122" s="5"/>
      <c r="G122" s="4"/>
      <c r="H122" s="4"/>
      <c r="I122" s="4"/>
    </row>
    <row r="123" spans="1:9">
      <c r="A123" s="4"/>
      <c r="B123" s="5"/>
      <c r="C123" s="4"/>
      <c r="D123" s="4"/>
      <c r="E123" s="5"/>
      <c r="F123" s="5"/>
      <c r="G123" s="4"/>
      <c r="H123" s="4"/>
      <c r="I123" s="4"/>
    </row>
    <row r="124" spans="1:9">
      <c r="A124" s="4"/>
      <c r="B124" s="5"/>
      <c r="C124" s="4"/>
      <c r="D124" s="4"/>
      <c r="E124" s="5"/>
      <c r="F124" s="5"/>
      <c r="G124" s="4"/>
      <c r="H124" s="4"/>
      <c r="I124" s="4"/>
    </row>
    <row r="125" spans="1:9">
      <c r="A125" s="4"/>
      <c r="B125" s="5"/>
      <c r="C125" s="4"/>
      <c r="D125" s="4"/>
      <c r="E125" s="5"/>
      <c r="F125" s="5"/>
      <c r="G125" s="4"/>
      <c r="H125" s="4"/>
      <c r="I125" s="4"/>
    </row>
    <row r="126" spans="1:9">
      <c r="A126" s="4"/>
      <c r="B126" s="5"/>
      <c r="C126" s="4"/>
      <c r="D126" s="4"/>
      <c r="E126" s="5"/>
      <c r="F126" s="5"/>
      <c r="G126" s="4"/>
      <c r="H126" s="4"/>
      <c r="I126" s="4"/>
    </row>
    <row r="127" spans="1:9">
      <c r="A127" s="4"/>
      <c r="B127" s="5"/>
      <c r="C127" s="4"/>
      <c r="D127" s="4"/>
      <c r="E127" s="5"/>
      <c r="F127" s="5"/>
      <c r="G127" s="4"/>
      <c r="H127" s="4"/>
      <c r="I127" s="4"/>
    </row>
    <row r="128" spans="1:9">
      <c r="A128" s="4"/>
      <c r="B128" s="5"/>
      <c r="C128" s="4"/>
      <c r="D128" s="4"/>
      <c r="E128" s="5"/>
      <c r="F128" s="5"/>
      <c r="G128" s="4"/>
      <c r="H128" s="4"/>
      <c r="I128" s="4"/>
    </row>
    <row r="129" spans="1:9">
      <c r="A129" s="4"/>
      <c r="B129" s="5"/>
      <c r="C129" s="4"/>
      <c r="D129" s="4"/>
      <c r="E129" s="5"/>
      <c r="F129" s="5"/>
      <c r="G129" s="4"/>
      <c r="H129" s="4"/>
      <c r="I129" s="4"/>
    </row>
    <row r="130" spans="1:9">
      <c r="A130" s="4"/>
      <c r="B130" s="5"/>
      <c r="C130" s="4"/>
      <c r="D130" s="4"/>
      <c r="E130" s="5"/>
      <c r="F130" s="5"/>
      <c r="G130" s="4"/>
      <c r="H130" s="4"/>
      <c r="I130" s="4"/>
    </row>
    <row r="131" spans="1:9">
      <c r="A131" s="4"/>
      <c r="B131" s="5"/>
      <c r="C131" s="4"/>
      <c r="D131" s="4"/>
      <c r="E131" s="5"/>
      <c r="F131" s="5"/>
      <c r="G131" s="4"/>
      <c r="H131" s="4"/>
      <c r="I131" s="4"/>
    </row>
    <row r="132" spans="1:9">
      <c r="A132" s="4"/>
      <c r="B132" s="5"/>
      <c r="C132" s="4"/>
      <c r="D132" s="4"/>
      <c r="E132" s="5"/>
      <c r="F132" s="5"/>
      <c r="G132" s="4"/>
      <c r="H132" s="4"/>
      <c r="I132" s="4"/>
    </row>
    <row r="133" spans="1:9">
      <c r="A133" s="4"/>
      <c r="B133" s="5"/>
      <c r="C133" s="4"/>
      <c r="D133" s="4"/>
      <c r="E133" s="5"/>
      <c r="F133" s="5"/>
      <c r="G133" s="4"/>
      <c r="H133" s="4"/>
      <c r="I133" s="4"/>
    </row>
    <row r="134" spans="1:9">
      <c r="A134" s="4"/>
      <c r="B134" s="5"/>
      <c r="C134" s="4"/>
      <c r="D134" s="4"/>
      <c r="E134" s="5"/>
      <c r="F134" s="5"/>
      <c r="G134" s="4"/>
      <c r="H134" s="4"/>
      <c r="I134" s="4"/>
    </row>
    <row r="135" spans="1:9">
      <c r="A135" s="4"/>
      <c r="B135" s="5"/>
      <c r="C135" s="4"/>
      <c r="D135" s="4"/>
      <c r="E135" s="5"/>
      <c r="F135" s="5"/>
      <c r="G135" s="4"/>
      <c r="H135" s="4"/>
      <c r="I135" s="4"/>
    </row>
    <row r="136" spans="1:9">
      <c r="A136" s="4"/>
      <c r="B136" s="5"/>
      <c r="C136" s="4"/>
      <c r="D136" s="4"/>
      <c r="E136" s="5"/>
      <c r="F136" s="5"/>
      <c r="G136" s="4"/>
      <c r="H136" s="4"/>
      <c r="I136" s="4"/>
    </row>
    <row r="137" spans="1:9">
      <c r="A137" s="4"/>
      <c r="B137" s="5"/>
      <c r="C137" s="4"/>
      <c r="D137" s="4"/>
      <c r="E137" s="5"/>
      <c r="F137" s="5"/>
      <c r="G137" s="4"/>
      <c r="H137" s="4"/>
      <c r="I137" s="4"/>
    </row>
    <row r="138" spans="1:9">
      <c r="A138" s="4"/>
      <c r="B138" s="5"/>
      <c r="C138" s="4"/>
      <c r="D138" s="4"/>
      <c r="E138" s="5"/>
      <c r="F138" s="5"/>
      <c r="G138" s="4"/>
      <c r="H138" s="4"/>
      <c r="I138" s="4"/>
    </row>
    <row r="139" spans="1:9">
      <c r="A139" s="4"/>
      <c r="B139" s="5"/>
      <c r="C139" s="4"/>
      <c r="D139" s="4"/>
      <c r="E139" s="5"/>
      <c r="F139" s="5"/>
      <c r="G139" s="4"/>
      <c r="H139" s="4"/>
      <c r="I139" s="4"/>
    </row>
    <row r="140" spans="1:9">
      <c r="A140" s="4"/>
      <c r="B140" s="5"/>
      <c r="C140" s="4"/>
      <c r="D140" s="4"/>
      <c r="E140" s="5"/>
      <c r="F140" s="5"/>
      <c r="G140" s="4"/>
      <c r="H140" s="4"/>
      <c r="I140" s="4"/>
    </row>
    <row r="141" spans="1:9">
      <c r="A141" s="4"/>
      <c r="B141" s="5"/>
      <c r="C141" s="4"/>
      <c r="D141" s="4"/>
      <c r="E141" s="5"/>
      <c r="F141" s="5"/>
      <c r="G141" s="4"/>
      <c r="H141" s="4"/>
      <c r="I141" s="4"/>
    </row>
    <row r="142" spans="1:9">
      <c r="A142" s="4"/>
      <c r="B142" s="5"/>
      <c r="C142" s="4"/>
      <c r="D142" s="4"/>
      <c r="E142" s="5"/>
      <c r="F142" s="5"/>
      <c r="G142" s="4"/>
      <c r="H142" s="4"/>
      <c r="I142" s="4"/>
    </row>
    <row r="143" spans="1:9">
      <c r="A143" s="4"/>
      <c r="B143" s="5"/>
      <c r="C143" s="4"/>
      <c r="D143" s="4"/>
      <c r="E143" s="5"/>
      <c r="F143" s="5"/>
      <c r="G143" s="4"/>
      <c r="H143" s="4"/>
      <c r="I143" s="4"/>
    </row>
    <row r="144" spans="1:9">
      <c r="A144" s="4"/>
      <c r="B144" s="5"/>
      <c r="C144" s="4"/>
      <c r="D144" s="4"/>
      <c r="E144" s="5"/>
      <c r="F144" s="5"/>
      <c r="G144" s="4"/>
      <c r="H144" s="4"/>
      <c r="I144" s="4"/>
    </row>
    <row r="145" spans="1:9">
      <c r="A145" s="4"/>
      <c r="B145" s="5"/>
      <c r="C145" s="4"/>
      <c r="D145" s="4"/>
      <c r="E145" s="5"/>
      <c r="F145" s="5"/>
      <c r="G145" s="4"/>
      <c r="H145" s="4"/>
      <c r="I145" s="4"/>
    </row>
    <row r="146" spans="1:9">
      <c r="A146" s="4"/>
      <c r="B146" s="5"/>
      <c r="C146" s="4"/>
      <c r="D146" s="4"/>
      <c r="E146" s="5"/>
      <c r="F146" s="5"/>
      <c r="G146" s="4"/>
      <c r="H146" s="4"/>
      <c r="I146" s="4"/>
    </row>
    <row r="147" spans="1:9">
      <c r="A147" s="4"/>
      <c r="B147" s="5"/>
      <c r="C147" s="4"/>
      <c r="D147" s="4"/>
      <c r="E147" s="5"/>
      <c r="F147" s="5"/>
      <c r="G147" s="4"/>
      <c r="H147" s="4"/>
      <c r="I147" s="4"/>
    </row>
    <row r="148" spans="1:9">
      <c r="A148" s="4"/>
      <c r="B148" s="5"/>
      <c r="C148" s="4"/>
      <c r="D148" s="4"/>
      <c r="E148" s="5"/>
      <c r="F148" s="5"/>
      <c r="G148" s="4"/>
      <c r="H148" s="4"/>
      <c r="I148" s="4"/>
    </row>
    <row r="149" spans="1:9">
      <c r="A149" s="4"/>
      <c r="B149" s="5"/>
      <c r="C149" s="4"/>
      <c r="D149" s="4"/>
      <c r="E149" s="5"/>
      <c r="F149" s="5"/>
      <c r="G149" s="4"/>
      <c r="H149" s="4"/>
      <c r="I149" s="4"/>
    </row>
    <row r="150" spans="1:9">
      <c r="A150" s="4"/>
      <c r="B150" s="5"/>
      <c r="C150" s="4"/>
      <c r="D150" s="4"/>
      <c r="E150" s="5"/>
      <c r="F150" s="5"/>
      <c r="G150" s="4"/>
      <c r="H150" s="4"/>
      <c r="I150" s="4"/>
    </row>
    <row r="151" spans="1:9">
      <c r="A151" s="4"/>
      <c r="B151" s="5"/>
      <c r="C151" s="4"/>
      <c r="D151" s="4"/>
      <c r="E151" s="5"/>
      <c r="F151" s="5"/>
      <c r="G151" s="4"/>
      <c r="H151" s="4"/>
      <c r="I151" s="4"/>
    </row>
    <row r="152" spans="1:9">
      <c r="A152" s="4"/>
      <c r="B152" s="5"/>
      <c r="C152" s="4"/>
      <c r="D152" s="4"/>
      <c r="E152" s="5"/>
      <c r="F152" s="5"/>
      <c r="G152" s="4"/>
      <c r="H152" s="4"/>
      <c r="I152" s="4"/>
    </row>
    <row r="153" spans="1:9">
      <c r="A153" s="4"/>
      <c r="B153" s="5"/>
      <c r="C153" s="4"/>
      <c r="D153" s="4"/>
      <c r="E153" s="5"/>
      <c r="F153" s="5"/>
      <c r="G153" s="4"/>
      <c r="H153" s="4"/>
      <c r="I153" s="4"/>
    </row>
    <row r="154" spans="1:9">
      <c r="A154" s="4"/>
      <c r="B154" s="5"/>
      <c r="C154" s="4"/>
      <c r="D154" s="4"/>
      <c r="E154" s="5"/>
      <c r="F154" s="5"/>
      <c r="G154" s="4"/>
      <c r="H154" s="4"/>
      <c r="I154" s="4"/>
    </row>
    <row r="155" spans="1:9">
      <c r="A155" s="4"/>
      <c r="B155" s="5"/>
      <c r="C155" s="4"/>
      <c r="D155" s="4"/>
      <c r="E155" s="5"/>
      <c r="F155" s="5"/>
      <c r="G155" s="4"/>
      <c r="H155" s="4"/>
      <c r="I155" s="4"/>
    </row>
    <row r="156" spans="1:9">
      <c r="A156" s="4"/>
      <c r="B156" s="5"/>
      <c r="C156" s="4"/>
      <c r="D156" s="4"/>
      <c r="E156" s="5"/>
      <c r="F156" s="5"/>
      <c r="G156" s="4"/>
      <c r="H156" s="4"/>
      <c r="I156" s="4"/>
    </row>
    <row r="157" spans="1:9">
      <c r="A157" s="4"/>
      <c r="B157" s="5"/>
      <c r="C157" s="4"/>
      <c r="D157" s="4"/>
      <c r="E157" s="5"/>
      <c r="F157" s="5"/>
      <c r="G157" s="4"/>
      <c r="H157" s="4"/>
      <c r="I157" s="4"/>
    </row>
    <row r="158" spans="1:9">
      <c r="A158" s="4"/>
      <c r="B158" s="5"/>
      <c r="C158" s="4"/>
      <c r="D158" s="4"/>
      <c r="E158" s="5"/>
      <c r="F158" s="5"/>
      <c r="G158" s="4"/>
      <c r="H158" s="4"/>
      <c r="I158" s="4"/>
    </row>
    <row r="159" spans="1:9">
      <c r="A159" s="4"/>
      <c r="B159" s="5"/>
      <c r="C159" s="4"/>
      <c r="D159" s="4"/>
      <c r="E159" s="5"/>
      <c r="F159" s="5"/>
      <c r="G159" s="4"/>
      <c r="H159" s="4"/>
      <c r="I159" s="4"/>
    </row>
    <row r="160" spans="1:9">
      <c r="A160" s="4"/>
      <c r="B160" s="5"/>
      <c r="C160" s="4"/>
      <c r="D160" s="4"/>
      <c r="E160" s="5"/>
      <c r="F160" s="5"/>
      <c r="G160" s="4"/>
      <c r="H160" s="4"/>
      <c r="I160" s="4"/>
    </row>
    <row r="161" spans="1:9">
      <c r="A161" s="4"/>
      <c r="B161" s="5"/>
      <c r="C161" s="4"/>
      <c r="D161" s="4"/>
      <c r="E161" s="5"/>
      <c r="F161" s="5"/>
      <c r="G161" s="4"/>
      <c r="H161" s="4"/>
      <c r="I161" s="4"/>
    </row>
    <row r="162" spans="1:9">
      <c r="A162" s="4"/>
      <c r="B162" s="5"/>
      <c r="C162" s="4"/>
      <c r="D162" s="4"/>
      <c r="E162" s="5"/>
      <c r="F162" s="5"/>
      <c r="G162" s="4"/>
      <c r="H162" s="4"/>
      <c r="I162" s="4"/>
    </row>
    <row r="163" spans="1:9">
      <c r="A163" s="4"/>
      <c r="B163" s="5"/>
      <c r="C163" s="4"/>
      <c r="D163" s="4"/>
      <c r="E163" s="5"/>
      <c r="F163" s="5"/>
      <c r="G163" s="4"/>
      <c r="H163" s="4"/>
      <c r="I163" s="4"/>
    </row>
    <row r="164" spans="1:9">
      <c r="A164" s="4"/>
      <c r="B164" s="5"/>
      <c r="C164" s="4"/>
      <c r="D164" s="4"/>
      <c r="E164" s="5"/>
      <c r="F164" s="5"/>
      <c r="G164" s="4"/>
      <c r="H164" s="4"/>
      <c r="I164" s="4"/>
    </row>
    <row r="165" spans="1:9">
      <c r="A165" s="4"/>
      <c r="B165" s="5"/>
      <c r="C165" s="4"/>
      <c r="D165" s="4"/>
      <c r="E165" s="5"/>
      <c r="F165" s="5"/>
      <c r="G165" s="4"/>
      <c r="H165" s="4"/>
      <c r="I165" s="4"/>
    </row>
    <row r="166" spans="1:9">
      <c r="A166" s="4"/>
      <c r="B166" s="5"/>
      <c r="C166" s="4"/>
      <c r="D166" s="4"/>
      <c r="E166" s="5"/>
      <c r="F166" s="5"/>
      <c r="G166" s="4"/>
      <c r="H166" s="4"/>
      <c r="I166" s="4"/>
    </row>
    <row r="167" spans="1:9">
      <c r="A167" s="4"/>
      <c r="B167" s="5"/>
      <c r="C167" s="4"/>
      <c r="D167" s="4"/>
      <c r="E167" s="5"/>
      <c r="F167" s="5"/>
      <c r="G167" s="4"/>
      <c r="H167" s="4"/>
      <c r="I167" s="4"/>
    </row>
    <row r="168" spans="1:9">
      <c r="A168" s="4"/>
      <c r="B168" s="5"/>
      <c r="C168" s="4"/>
      <c r="D168" s="4"/>
      <c r="E168" s="5"/>
      <c r="F168" s="5"/>
      <c r="G168" s="4"/>
      <c r="H168" s="4"/>
      <c r="I168" s="4"/>
    </row>
    <row r="169" spans="1:9">
      <c r="A169" s="4"/>
      <c r="B169" s="5"/>
      <c r="C169" s="4"/>
      <c r="D169" s="4"/>
      <c r="E169" s="5"/>
      <c r="F169" s="5"/>
      <c r="G169" s="4"/>
      <c r="H169" s="4"/>
      <c r="I169" s="4"/>
    </row>
    <row r="170" spans="1:9">
      <c r="A170" s="4"/>
      <c r="B170" s="5"/>
      <c r="C170" s="4"/>
      <c r="D170" s="4"/>
      <c r="E170" s="5"/>
      <c r="F170" s="5"/>
      <c r="G170" s="4"/>
      <c r="H170" s="4"/>
      <c r="I170" s="4"/>
    </row>
    <row r="171" spans="1:9">
      <c r="A171" s="4"/>
      <c r="B171" s="5"/>
      <c r="C171" s="4"/>
      <c r="D171" s="4"/>
      <c r="E171" s="5"/>
      <c r="F171" s="5"/>
      <c r="G171" s="4"/>
      <c r="H171" s="4"/>
      <c r="I171" s="4"/>
    </row>
    <row r="172" spans="1:9">
      <c r="A172" s="4"/>
      <c r="B172" s="5"/>
      <c r="C172" s="4"/>
      <c r="D172" s="4"/>
      <c r="E172" s="5"/>
      <c r="F172" s="5"/>
      <c r="G172" s="4"/>
      <c r="H172" s="4"/>
      <c r="I172" s="4"/>
    </row>
    <row r="173" spans="1:9">
      <c r="A173" s="4"/>
      <c r="B173" s="5"/>
      <c r="C173" s="4"/>
      <c r="D173" s="4"/>
      <c r="E173" s="5"/>
      <c r="F173" s="5"/>
      <c r="G173" s="4"/>
      <c r="H173" s="4"/>
      <c r="I173" s="4"/>
    </row>
    <row r="174" spans="1:9">
      <c r="A174" s="4"/>
      <c r="B174" s="5"/>
      <c r="C174" s="4"/>
      <c r="D174" s="4"/>
      <c r="E174" s="5"/>
      <c r="F174" s="5"/>
      <c r="G174" s="4"/>
      <c r="H174" s="4"/>
      <c r="I174" s="4"/>
    </row>
    <row r="175" spans="1:9">
      <c r="A175" s="4"/>
      <c r="B175" s="5"/>
      <c r="C175" s="4"/>
      <c r="D175" s="4"/>
      <c r="E175" s="5"/>
      <c r="F175" s="5"/>
      <c r="G175" s="4"/>
      <c r="H175" s="4"/>
      <c r="I175" s="4"/>
    </row>
    <row r="176" spans="1:9">
      <c r="A176" s="4"/>
      <c r="B176" s="5"/>
      <c r="C176" s="4"/>
      <c r="D176" s="4"/>
      <c r="E176" s="5"/>
      <c r="F176" s="5"/>
      <c r="G176" s="4"/>
      <c r="H176" s="4"/>
      <c r="I176" s="4"/>
    </row>
    <row r="177" spans="1:9">
      <c r="A177" s="4"/>
      <c r="B177" s="5"/>
      <c r="C177" s="4"/>
      <c r="D177" s="4"/>
      <c r="E177" s="5"/>
      <c r="F177" s="5"/>
      <c r="G177" s="4"/>
      <c r="H177" s="4"/>
      <c r="I177" s="4"/>
    </row>
    <row r="178" spans="1:9">
      <c r="A178" s="4"/>
      <c r="B178" s="5"/>
      <c r="C178" s="4"/>
      <c r="D178" s="4"/>
      <c r="E178" s="5"/>
      <c r="F178" s="5"/>
      <c r="G178" s="4"/>
      <c r="H178" s="4"/>
      <c r="I178" s="4"/>
    </row>
    <row r="179" spans="1:9">
      <c r="A179" s="4"/>
      <c r="B179" s="5"/>
      <c r="C179" s="4"/>
      <c r="D179" s="4"/>
      <c r="E179" s="5"/>
      <c r="F179" s="5"/>
      <c r="G179" s="4"/>
      <c r="H179" s="4"/>
      <c r="I179" s="4"/>
    </row>
    <row r="180" spans="1:9">
      <c r="A180" s="4"/>
      <c r="B180" s="5"/>
      <c r="C180" s="4"/>
      <c r="D180" s="4"/>
      <c r="E180" s="5"/>
      <c r="F180" s="5"/>
      <c r="G180" s="4"/>
      <c r="H180" s="4"/>
      <c r="I180" s="4"/>
    </row>
    <row r="181" spans="1:9">
      <c r="A181" s="4"/>
      <c r="B181" s="5"/>
      <c r="C181" s="4"/>
      <c r="D181" s="4"/>
      <c r="E181" s="5"/>
      <c r="F181" s="5"/>
      <c r="G181" s="4"/>
      <c r="H181" s="4"/>
      <c r="I181" s="4"/>
    </row>
    <row r="182" spans="1:9">
      <c r="A182" s="4"/>
      <c r="B182" s="5"/>
      <c r="C182" s="4"/>
      <c r="D182" s="4"/>
      <c r="E182" s="5"/>
      <c r="F182" s="5"/>
      <c r="G182" s="4"/>
      <c r="H182" s="4"/>
      <c r="I182" s="4"/>
    </row>
    <row r="183" spans="1:9">
      <c r="A183" s="4"/>
      <c r="B183" s="5"/>
      <c r="C183" s="4"/>
      <c r="D183" s="4"/>
      <c r="E183" s="5"/>
      <c r="F183" s="5"/>
      <c r="G183" s="4"/>
      <c r="H183" s="4"/>
      <c r="I183" s="4"/>
    </row>
    <row r="184" spans="1:9">
      <c r="A184" s="4"/>
      <c r="B184" s="5"/>
      <c r="C184" s="4"/>
      <c r="D184" s="4"/>
      <c r="E184" s="5"/>
      <c r="F184" s="5"/>
      <c r="G184" s="4"/>
      <c r="H184" s="4"/>
      <c r="I184" s="4"/>
    </row>
    <row r="185" spans="1:9">
      <c r="A185" s="4"/>
      <c r="B185" s="5"/>
      <c r="C185" s="4"/>
      <c r="D185" s="4"/>
      <c r="E185" s="5"/>
      <c r="F185" s="5"/>
      <c r="G185" s="4"/>
      <c r="H185" s="4"/>
      <c r="I185" s="4"/>
    </row>
    <row r="186" spans="1:9">
      <c r="A186" s="4"/>
      <c r="B186" s="5"/>
      <c r="C186" s="4"/>
      <c r="D186" s="4"/>
      <c r="E186" s="5"/>
      <c r="F186" s="5"/>
      <c r="G186" s="4"/>
      <c r="H186" s="4"/>
      <c r="I186" s="4"/>
    </row>
    <row r="187" spans="1:9">
      <c r="A187" s="4"/>
      <c r="B187" s="5"/>
      <c r="C187" s="4"/>
      <c r="D187" s="4"/>
      <c r="E187" s="5"/>
      <c r="F187" s="5"/>
      <c r="G187" s="4"/>
      <c r="H187" s="4"/>
      <c r="I187" s="4"/>
    </row>
    <row r="188" spans="1:9">
      <c r="A188" s="4"/>
      <c r="B188" s="5"/>
      <c r="C188" s="4"/>
      <c r="D188" s="4"/>
      <c r="E188" s="5"/>
      <c r="F188" s="5"/>
      <c r="G188" s="4"/>
      <c r="H188" s="4"/>
      <c r="I188" s="4"/>
    </row>
    <row r="189" spans="1:9">
      <c r="A189" s="4"/>
      <c r="B189" s="5"/>
      <c r="C189" s="4"/>
      <c r="D189" s="4"/>
      <c r="E189" s="5"/>
      <c r="F189" s="5"/>
      <c r="G189" s="4"/>
      <c r="H189" s="4"/>
      <c r="I189" s="4"/>
    </row>
    <row r="190" spans="1:9">
      <c r="A190" s="4"/>
      <c r="B190" s="5"/>
      <c r="C190" s="4"/>
      <c r="D190" s="4"/>
      <c r="E190" s="5"/>
      <c r="F190" s="5"/>
      <c r="G190" s="4"/>
      <c r="H190" s="4"/>
      <c r="I190" s="4"/>
    </row>
    <row r="191" spans="1:9">
      <c r="A191" s="4"/>
      <c r="B191" s="5"/>
      <c r="C191" s="4"/>
      <c r="D191" s="4"/>
      <c r="E191" s="5"/>
      <c r="F191" s="5"/>
      <c r="G191" s="4"/>
      <c r="H191" s="4"/>
      <c r="I191" s="4"/>
    </row>
    <row r="192" spans="1:9">
      <c r="A192" s="4"/>
      <c r="B192" s="5"/>
      <c r="C192" s="4"/>
      <c r="D192" s="4"/>
      <c r="E192" s="5"/>
      <c r="F192" s="5"/>
      <c r="G192" s="4"/>
      <c r="H192" s="4"/>
      <c r="I192" s="4"/>
    </row>
    <row r="193" spans="1:9">
      <c r="A193" s="4"/>
      <c r="B193" s="5"/>
      <c r="C193" s="4"/>
      <c r="D193" s="4"/>
      <c r="E193" s="5"/>
      <c r="F193" s="5"/>
      <c r="G193" s="4"/>
      <c r="H193" s="4"/>
      <c r="I193" s="4"/>
    </row>
    <row r="194" spans="1:9">
      <c r="A194" s="4"/>
      <c r="B194" s="38"/>
      <c r="C194" s="38"/>
      <c r="D194" s="38"/>
      <c r="E194" s="38"/>
      <c r="F194" s="38"/>
      <c r="G194" s="38"/>
      <c r="H194" s="38"/>
      <c r="I194" s="38"/>
    </row>
    <row r="195" spans="1:9">
      <c r="A195" s="4"/>
      <c r="B195" s="38"/>
      <c r="C195" s="38"/>
      <c r="D195" s="38"/>
      <c r="E195" s="38"/>
      <c r="F195" s="38"/>
      <c r="G195" s="38"/>
      <c r="H195" s="38"/>
      <c r="I195" s="38"/>
    </row>
    <row r="196" spans="1:9">
      <c r="A196" s="4"/>
      <c r="B196" s="38"/>
      <c r="C196" s="38"/>
      <c r="D196" s="38"/>
      <c r="E196" s="38"/>
      <c r="F196" s="38"/>
      <c r="G196" s="38"/>
      <c r="H196" s="38"/>
      <c r="I196" s="38"/>
    </row>
    <row r="197" spans="1:9">
      <c r="A197" s="38"/>
      <c r="B197" s="38"/>
      <c r="C197" s="38"/>
      <c r="D197" s="38"/>
      <c r="E197" s="38"/>
      <c r="F197" s="38"/>
      <c r="G197" s="38"/>
      <c r="H197" s="38"/>
      <c r="I197" s="38"/>
    </row>
    <row r="198" spans="1:9">
      <c r="A198" s="38"/>
      <c r="B198" s="38"/>
      <c r="C198" s="38"/>
      <c r="D198" s="38"/>
      <c r="E198" s="38"/>
      <c r="F198" s="38"/>
      <c r="G198" s="38"/>
      <c r="H198" s="38"/>
      <c r="I198" s="38"/>
    </row>
    <row r="199" spans="1:9">
      <c r="A199" s="38"/>
      <c r="B199" s="38"/>
      <c r="C199" s="38"/>
      <c r="D199" s="38"/>
      <c r="E199" s="38"/>
      <c r="F199" s="38"/>
      <c r="G199" s="38"/>
      <c r="H199" s="38"/>
      <c r="I199" s="38"/>
    </row>
    <row r="200" spans="1:9">
      <c r="A200" s="38"/>
      <c r="B200" s="38"/>
      <c r="C200" s="38"/>
      <c r="D200" s="38"/>
      <c r="E200" s="38"/>
      <c r="F200" s="38"/>
      <c r="G200" s="38"/>
      <c r="H200" s="38"/>
      <c r="I200" s="38"/>
    </row>
    <row r="201" spans="1:9">
      <c r="A201" s="38"/>
      <c r="B201" s="38"/>
      <c r="C201" s="38"/>
      <c r="D201" s="38"/>
      <c r="E201" s="38"/>
      <c r="F201" s="38"/>
      <c r="G201" s="38"/>
      <c r="H201" s="38"/>
      <c r="I201" s="38"/>
    </row>
    <row r="202" spans="1:9">
      <c r="A202" s="38"/>
      <c r="B202" s="38"/>
      <c r="C202" s="38"/>
      <c r="D202" s="38"/>
      <c r="E202" s="38"/>
      <c r="F202" s="38"/>
      <c r="G202" s="38"/>
      <c r="H202" s="38"/>
      <c r="I202" s="38"/>
    </row>
    <row r="203" spans="1:9">
      <c r="A203" s="38"/>
      <c r="B203" s="38"/>
      <c r="C203" s="38"/>
      <c r="D203" s="38"/>
      <c r="E203" s="38"/>
      <c r="F203" s="38"/>
      <c r="G203" s="38"/>
      <c r="H203" s="38"/>
      <c r="I203" s="38"/>
    </row>
    <row r="204" spans="1:9">
      <c r="A204" s="38"/>
      <c r="B204" s="38"/>
      <c r="C204" s="38"/>
      <c r="D204" s="38"/>
      <c r="E204" s="38"/>
      <c r="F204" s="38"/>
      <c r="G204" s="38"/>
      <c r="H204" s="38"/>
      <c r="I204" s="38"/>
    </row>
    <row r="205" spans="1:9">
      <c r="A205" s="38"/>
      <c r="B205" s="38"/>
      <c r="C205" s="38"/>
      <c r="D205" s="38"/>
      <c r="E205" s="38"/>
      <c r="F205" s="38"/>
      <c r="G205" s="38"/>
      <c r="H205" s="38"/>
      <c r="I205" s="38"/>
    </row>
    <row r="206" spans="1:9">
      <c r="A206" s="38"/>
      <c r="B206" s="38"/>
      <c r="C206" s="38"/>
      <c r="D206" s="38"/>
      <c r="E206" s="38"/>
      <c r="F206" s="38"/>
      <c r="G206" s="38"/>
      <c r="H206" s="38"/>
      <c r="I206" s="38"/>
    </row>
    <row r="207" spans="1:9">
      <c r="A207" s="38"/>
      <c r="B207" s="38"/>
      <c r="C207" s="38"/>
      <c r="D207" s="38"/>
      <c r="E207" s="38"/>
      <c r="F207" s="38"/>
      <c r="G207" s="38"/>
      <c r="H207" s="38"/>
      <c r="I207" s="38"/>
    </row>
    <row r="208" spans="1:9">
      <c r="A208" s="38"/>
      <c r="B208" s="38"/>
      <c r="C208" s="38"/>
      <c r="D208" s="38"/>
      <c r="E208" s="38"/>
      <c r="F208" s="38"/>
      <c r="G208" s="38"/>
      <c r="H208" s="38"/>
      <c r="I208" s="38"/>
    </row>
    <row r="209" spans="1:9">
      <c r="A209" s="38"/>
      <c r="B209" s="38"/>
      <c r="C209" s="38"/>
      <c r="D209" s="38"/>
      <c r="E209" s="38"/>
      <c r="F209" s="38"/>
      <c r="G209" s="38"/>
      <c r="H209" s="38"/>
      <c r="I209" s="38"/>
    </row>
    <row r="210" spans="1:9">
      <c r="A210" s="38"/>
      <c r="B210" s="38"/>
      <c r="C210" s="38"/>
      <c r="D210" s="38"/>
      <c r="E210" s="38"/>
      <c r="F210" s="38"/>
      <c r="G210" s="38"/>
      <c r="H210" s="38"/>
      <c r="I210" s="38"/>
    </row>
    <row r="211" spans="1:9">
      <c r="A211" s="38"/>
      <c r="B211" s="38"/>
      <c r="C211" s="38"/>
      <c r="D211" s="38"/>
      <c r="E211" s="38"/>
      <c r="F211" s="38"/>
      <c r="G211" s="38"/>
      <c r="H211" s="38"/>
      <c r="I211" s="38"/>
    </row>
    <row r="212" spans="1:9">
      <c r="A212" s="38"/>
      <c r="B212" s="38"/>
      <c r="C212" s="38"/>
      <c r="D212" s="38"/>
      <c r="E212" s="38"/>
      <c r="F212" s="38"/>
      <c r="G212" s="38"/>
      <c r="H212" s="38"/>
      <c r="I212" s="38"/>
    </row>
    <row r="213" spans="1:9">
      <c r="A213" s="38"/>
      <c r="B213" s="38"/>
      <c r="C213" s="38"/>
      <c r="D213" s="38"/>
      <c r="E213" s="38"/>
      <c r="F213" s="38"/>
      <c r="G213" s="38"/>
      <c r="H213" s="38"/>
      <c r="I213" s="38"/>
    </row>
    <row r="214" spans="1:9">
      <c r="A214" s="38"/>
      <c r="B214" s="38"/>
      <c r="C214" s="38"/>
      <c r="D214" s="38"/>
      <c r="E214" s="38"/>
      <c r="F214" s="38"/>
      <c r="G214" s="38"/>
      <c r="H214" s="38"/>
      <c r="I214" s="38"/>
    </row>
    <row r="215" spans="1:9">
      <c r="A215" s="38"/>
      <c r="B215" s="38"/>
      <c r="C215" s="38"/>
      <c r="D215" s="38"/>
      <c r="E215" s="38"/>
      <c r="F215" s="38"/>
      <c r="G215" s="38"/>
      <c r="H215" s="38"/>
      <c r="I215" s="38"/>
    </row>
    <row r="216" spans="1:9">
      <c r="A216" s="38"/>
      <c r="B216" s="38"/>
      <c r="C216" s="38"/>
      <c r="D216" s="38"/>
      <c r="E216" s="38"/>
      <c r="F216" s="38"/>
      <c r="G216" s="38"/>
      <c r="H216" s="38"/>
      <c r="I216" s="38"/>
    </row>
    <row r="217" spans="1:9">
      <c r="A217" s="38"/>
      <c r="B217" s="38"/>
      <c r="C217" s="38"/>
      <c r="D217" s="38"/>
      <c r="E217" s="38"/>
      <c r="F217" s="38"/>
      <c r="G217" s="38"/>
      <c r="H217" s="38"/>
      <c r="I217" s="38"/>
    </row>
    <row r="218" spans="1:9">
      <c r="A218" s="38"/>
      <c r="B218" s="38"/>
      <c r="C218" s="38"/>
      <c r="D218" s="38"/>
      <c r="E218" s="38"/>
      <c r="F218" s="38"/>
      <c r="G218" s="38"/>
      <c r="H218" s="38"/>
      <c r="I218" s="38"/>
    </row>
    <row r="219" spans="1:9">
      <c r="A219" s="38"/>
      <c r="B219" s="38"/>
      <c r="C219" s="38"/>
      <c r="D219" s="38"/>
      <c r="E219" s="38"/>
      <c r="F219" s="38"/>
      <c r="G219" s="38"/>
      <c r="H219" s="38"/>
      <c r="I219" s="38"/>
    </row>
    <row r="220" spans="1:9">
      <c r="A220" s="38"/>
      <c r="B220" s="38"/>
      <c r="C220" s="38"/>
      <c r="D220" s="38"/>
      <c r="E220" s="38"/>
      <c r="F220" s="38"/>
      <c r="G220" s="38"/>
      <c r="H220" s="38"/>
      <c r="I220" s="38"/>
    </row>
    <row r="221" spans="1:9">
      <c r="A221" s="38"/>
      <c r="B221" s="38"/>
      <c r="C221" s="38"/>
      <c r="D221" s="38"/>
      <c r="E221" s="38"/>
      <c r="F221" s="38"/>
      <c r="G221" s="38"/>
      <c r="H221" s="38"/>
      <c r="I221" s="38"/>
    </row>
    <row r="222" spans="1:9">
      <c r="A222" s="38"/>
      <c r="B222" s="38"/>
      <c r="C222" s="38"/>
      <c r="D222" s="38"/>
      <c r="E222" s="38"/>
      <c r="F222" s="38"/>
      <c r="G222" s="38"/>
      <c r="H222" s="38"/>
      <c r="I222" s="38"/>
    </row>
    <row r="223" spans="1:9">
      <c r="A223" s="38"/>
      <c r="B223" s="38"/>
      <c r="C223" s="38"/>
      <c r="D223" s="38"/>
      <c r="E223" s="38"/>
      <c r="F223" s="38"/>
      <c r="G223" s="38"/>
      <c r="H223" s="38"/>
      <c r="I223" s="38"/>
    </row>
    <row r="224" spans="1:9">
      <c r="A224" s="38"/>
      <c r="B224" s="38"/>
      <c r="C224" s="38"/>
      <c r="D224" s="38"/>
      <c r="E224" s="38"/>
      <c r="F224" s="38"/>
      <c r="G224" s="38"/>
      <c r="H224" s="38"/>
      <c r="I224" s="38"/>
    </row>
    <row r="225" spans="1:9">
      <c r="A225" s="38"/>
      <c r="B225" s="38"/>
      <c r="C225" s="38"/>
      <c r="D225" s="38"/>
      <c r="E225" s="38"/>
      <c r="F225" s="38"/>
      <c r="G225" s="38"/>
      <c r="H225" s="38"/>
      <c r="I225" s="38"/>
    </row>
    <row r="226" spans="1:9">
      <c r="A226" s="38"/>
      <c r="B226" s="38"/>
      <c r="C226" s="38"/>
      <c r="D226" s="38"/>
      <c r="E226" s="38"/>
      <c r="F226" s="38"/>
      <c r="G226" s="38"/>
      <c r="H226" s="38"/>
      <c r="I226" s="38"/>
    </row>
    <row r="227" spans="1:9">
      <c r="A227" s="38"/>
      <c r="B227" s="38"/>
      <c r="C227" s="38"/>
      <c r="D227" s="38"/>
      <c r="E227" s="38"/>
      <c r="F227" s="38"/>
      <c r="G227" s="38"/>
      <c r="H227" s="38"/>
      <c r="I227" s="38"/>
    </row>
    <row r="228" spans="1:9">
      <c r="A228" s="38"/>
      <c r="B228" s="38"/>
      <c r="C228" s="38"/>
      <c r="D228" s="38"/>
      <c r="E228" s="38"/>
      <c r="F228" s="38"/>
      <c r="G228" s="38"/>
      <c r="H228" s="38"/>
      <c r="I228" s="38"/>
    </row>
    <row r="229" spans="1:9">
      <c r="A229" s="38"/>
      <c r="B229" s="38"/>
      <c r="C229" s="38"/>
      <c r="D229" s="38"/>
      <c r="E229" s="38"/>
      <c r="F229" s="38"/>
      <c r="G229" s="38"/>
      <c r="H229" s="38"/>
      <c r="I229" s="38"/>
    </row>
    <row r="230" spans="1:9">
      <c r="A230" s="38"/>
      <c r="B230" s="38"/>
      <c r="C230" s="38"/>
      <c r="D230" s="38"/>
      <c r="E230" s="38"/>
      <c r="F230" s="38"/>
      <c r="G230" s="38"/>
      <c r="H230" s="38"/>
      <c r="I230" s="38"/>
    </row>
    <row r="231" spans="1:9">
      <c r="A231" s="38"/>
      <c r="B231" s="38"/>
      <c r="C231" s="38"/>
      <c r="D231" s="38"/>
      <c r="E231" s="38"/>
      <c r="F231" s="38"/>
      <c r="G231" s="38"/>
      <c r="H231" s="38"/>
      <c r="I231" s="38"/>
    </row>
    <row r="232" spans="1:9">
      <c r="A232" s="8" t="s">
        <v>241</v>
      </c>
      <c r="B232" s="7"/>
      <c r="C232" s="7"/>
      <c r="D232" s="7"/>
      <c r="E232" s="8" t="s">
        <v>241</v>
      </c>
      <c r="F232" s="7"/>
      <c r="G232" s="7"/>
      <c r="H232" s="7"/>
      <c r="I232" s="7"/>
    </row>
  </sheetData>
  <autoFilter ref="A1:H232" xr:uid="{C9324FB0-CB3C-4268-BCDB-6851019DA5CB}"/>
  <phoneticPr fontId="2" type="noConversion"/>
  <pageMargins left="0.5" right="0.5" top="1" bottom="1" header="0.5" footer="0.5"/>
  <pageSetup orientation="landscape" r:id="rId1"/>
  <headerFooter alignWithMargins="0">
    <oddHeader>&amp;C&amp;"Arial,Bold"Test Case Planning and Execution
&amp;A</oddHeader>
    <oddFooter>&amp;L&amp;"Arial,Italic"&amp;8&amp;D &amp;T&amp;C&amp;"Arial,Italic"&amp;8&amp;F&amp;R&amp;"Arial,Italic"&amp;8Page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D69A-04F3-4E85-9EC2-DEF317FB16E9}">
  <dimension ref="A3:R44"/>
  <sheetViews>
    <sheetView topLeftCell="A35" workbookViewId="0">
      <selection activeCell="N27" sqref="N27"/>
    </sheetView>
  </sheetViews>
  <sheetFormatPr defaultRowHeight="12.75"/>
  <cols>
    <col min="1" max="1" width="20.140625" bestFit="1" customWidth="1"/>
    <col min="2" max="2" width="13.7109375" bestFit="1" customWidth="1"/>
    <col min="3" max="3" width="15.28515625" bestFit="1" customWidth="1"/>
    <col min="4" max="4" width="22.140625" bestFit="1" customWidth="1"/>
    <col min="5" max="5" width="7" bestFit="1" customWidth="1"/>
    <col min="6" max="7" width="11.28515625" bestFit="1" customWidth="1"/>
    <col min="11" max="11" width="14.7109375" bestFit="1" customWidth="1"/>
    <col min="12" max="12" width="20.140625" bestFit="1" customWidth="1"/>
    <col min="13" max="13" width="9.28515625" bestFit="1" customWidth="1"/>
    <col min="14" max="14" width="8.140625" bestFit="1" customWidth="1"/>
    <col min="15" max="15" width="12.5703125" bestFit="1" customWidth="1"/>
    <col min="16" max="16" width="11.42578125" bestFit="1" customWidth="1"/>
    <col min="17" max="17" width="7" bestFit="1" customWidth="1"/>
    <col min="18" max="18" width="11.28515625" bestFit="1" customWidth="1"/>
  </cols>
  <sheetData>
    <row r="3" spans="1:18" ht="15.75">
      <c r="L3" s="24" t="s">
        <v>249</v>
      </c>
    </row>
    <row r="4" spans="1:18" ht="15.75">
      <c r="A4" s="24" t="s">
        <v>250</v>
      </c>
      <c r="L4" s="44" t="s">
        <v>247</v>
      </c>
      <c r="M4" t="s">
        <v>251</v>
      </c>
    </row>
    <row r="5" spans="1:18">
      <c r="A5" s="44" t="s">
        <v>248</v>
      </c>
      <c r="B5" t="s">
        <v>251</v>
      </c>
      <c r="L5" s="44" t="s">
        <v>248</v>
      </c>
      <c r="M5" t="s">
        <v>251</v>
      </c>
    </row>
    <row r="6" spans="1:18" ht="15.75">
      <c r="A6" s="24"/>
    </row>
    <row r="7" spans="1:18">
      <c r="A7" s="44" t="s">
        <v>252</v>
      </c>
      <c r="B7" s="44" t="s">
        <v>247</v>
      </c>
      <c r="L7" s="44" t="s">
        <v>252</v>
      </c>
      <c r="M7" s="44" t="s">
        <v>92</v>
      </c>
    </row>
    <row r="8" spans="1:18">
      <c r="A8" s="44" t="s">
        <v>92</v>
      </c>
      <c r="B8" t="s">
        <v>224</v>
      </c>
      <c r="C8" t="s">
        <v>225</v>
      </c>
      <c r="D8" t="s">
        <v>226</v>
      </c>
      <c r="E8" t="s">
        <v>253</v>
      </c>
      <c r="F8" t="s">
        <v>254</v>
      </c>
      <c r="L8" s="44" t="s">
        <v>97</v>
      </c>
      <c r="M8" t="s">
        <v>240</v>
      </c>
      <c r="N8" t="s">
        <v>244</v>
      </c>
      <c r="O8" t="s">
        <v>239</v>
      </c>
      <c r="P8" t="s">
        <v>245</v>
      </c>
      <c r="Q8" t="s">
        <v>253</v>
      </c>
      <c r="R8" t="s">
        <v>254</v>
      </c>
    </row>
    <row r="9" spans="1:18">
      <c r="A9" t="s">
        <v>240</v>
      </c>
      <c r="B9" s="23">
        <v>15</v>
      </c>
      <c r="C9" s="23">
        <v>6</v>
      </c>
      <c r="D9" s="23"/>
      <c r="E9" s="23"/>
      <c r="F9" s="23">
        <v>21</v>
      </c>
      <c r="L9" t="s">
        <v>109</v>
      </c>
      <c r="M9" s="23"/>
      <c r="N9" s="23">
        <v>7</v>
      </c>
      <c r="O9" s="23">
        <v>11</v>
      </c>
      <c r="P9" s="23"/>
      <c r="Q9" s="23"/>
      <c r="R9" s="23">
        <v>18</v>
      </c>
    </row>
    <row r="10" spans="1:18">
      <c r="A10" t="s">
        <v>244</v>
      </c>
      <c r="B10" s="23"/>
      <c r="C10" s="23">
        <v>3</v>
      </c>
      <c r="D10" s="23">
        <v>4</v>
      </c>
      <c r="E10" s="23"/>
      <c r="F10" s="23">
        <v>7</v>
      </c>
      <c r="L10" t="s">
        <v>141</v>
      </c>
      <c r="M10" s="23">
        <v>9</v>
      </c>
      <c r="N10" s="23"/>
      <c r="O10" s="23">
        <v>16</v>
      </c>
      <c r="P10" s="23">
        <v>2</v>
      </c>
      <c r="Q10" s="23"/>
      <c r="R10" s="23">
        <v>27</v>
      </c>
    </row>
    <row r="11" spans="1:18">
      <c r="A11" t="s">
        <v>239</v>
      </c>
      <c r="B11" s="23">
        <v>6</v>
      </c>
      <c r="C11" s="23">
        <v>11</v>
      </c>
      <c r="D11" s="23">
        <v>16</v>
      </c>
      <c r="E11" s="23"/>
      <c r="F11" s="23">
        <v>33</v>
      </c>
      <c r="L11" t="s">
        <v>181</v>
      </c>
      <c r="M11" s="23">
        <v>8</v>
      </c>
      <c r="N11" s="23"/>
      <c r="O11" s="23">
        <v>4</v>
      </c>
      <c r="P11" s="23"/>
      <c r="Q11" s="23"/>
      <c r="R11" s="23">
        <v>12</v>
      </c>
    </row>
    <row r="12" spans="1:18">
      <c r="A12" t="s">
        <v>245</v>
      </c>
      <c r="B12" s="23"/>
      <c r="C12" s="23">
        <v>1</v>
      </c>
      <c r="D12" s="23">
        <v>1</v>
      </c>
      <c r="E12" s="23"/>
      <c r="F12" s="23">
        <v>2</v>
      </c>
      <c r="L12" t="s">
        <v>202</v>
      </c>
      <c r="M12" s="23">
        <v>4</v>
      </c>
      <c r="N12" s="23"/>
      <c r="O12" s="23">
        <v>2</v>
      </c>
      <c r="P12" s="23"/>
      <c r="Q12" s="23"/>
      <c r="R12" s="23">
        <v>6</v>
      </c>
    </row>
    <row r="13" spans="1:18">
      <c r="A13" t="s">
        <v>253</v>
      </c>
      <c r="B13" s="23"/>
      <c r="C13" s="23"/>
      <c r="D13" s="23"/>
      <c r="E13" s="23"/>
      <c r="F13" s="23"/>
      <c r="L13" t="s">
        <v>253</v>
      </c>
      <c r="M13" s="23"/>
      <c r="N13" s="23"/>
      <c r="O13" s="23"/>
      <c r="P13" s="23"/>
      <c r="Q13" s="23"/>
      <c r="R13" s="23"/>
    </row>
    <row r="14" spans="1:18">
      <c r="A14" t="s">
        <v>254</v>
      </c>
      <c r="B14" s="23">
        <v>21</v>
      </c>
      <c r="C14" s="23">
        <v>21</v>
      </c>
      <c r="D14" s="23">
        <v>21</v>
      </c>
      <c r="E14" s="23"/>
      <c r="F14" s="23">
        <v>63</v>
      </c>
      <c r="L14" t="s">
        <v>254</v>
      </c>
      <c r="M14" s="23">
        <v>21</v>
      </c>
      <c r="N14" s="23">
        <v>7</v>
      </c>
      <c r="O14" s="23">
        <v>33</v>
      </c>
      <c r="P14" s="23">
        <v>2</v>
      </c>
      <c r="Q14" s="23"/>
      <c r="R14" s="23">
        <v>63</v>
      </c>
    </row>
    <row r="15" spans="1:18">
      <c r="D15" s="23"/>
      <c r="E15" s="23"/>
      <c r="F15" s="23"/>
      <c r="G15" s="23"/>
    </row>
    <row r="16" spans="1:18" ht="15.75">
      <c r="A16" s="24" t="s">
        <v>255</v>
      </c>
      <c r="D16" s="23"/>
      <c r="E16" s="23"/>
      <c r="F16" s="23"/>
      <c r="G16" s="23"/>
    </row>
    <row r="17" spans="1:18">
      <c r="A17" s="44" t="s">
        <v>247</v>
      </c>
      <c r="B17" t="s">
        <v>251</v>
      </c>
      <c r="D17" s="23"/>
      <c r="E17" s="23"/>
      <c r="F17" s="23"/>
      <c r="G17" s="23"/>
    </row>
    <row r="18" spans="1:18">
      <c r="A18" s="44" t="s">
        <v>248</v>
      </c>
      <c r="B18" t="s">
        <v>251</v>
      </c>
      <c r="D18" s="23"/>
      <c r="E18" s="23"/>
      <c r="F18" s="23"/>
      <c r="G18" s="23"/>
    </row>
    <row r="20" spans="1:18">
      <c r="A20" s="44" t="s">
        <v>252</v>
      </c>
      <c r="B20" s="44" t="s">
        <v>92</v>
      </c>
    </row>
    <row r="21" spans="1:18" ht="15.75">
      <c r="A21" s="44" t="s">
        <v>23</v>
      </c>
      <c r="B21" t="s">
        <v>240</v>
      </c>
      <c r="C21" t="s">
        <v>244</v>
      </c>
      <c r="D21" t="s">
        <v>239</v>
      </c>
      <c r="E21" t="s">
        <v>245</v>
      </c>
      <c r="F21" t="s">
        <v>253</v>
      </c>
      <c r="G21" t="s">
        <v>254</v>
      </c>
      <c r="L21" s="24" t="s">
        <v>256</v>
      </c>
    </row>
    <row r="22" spans="1:18">
      <c r="A22" t="s">
        <v>198</v>
      </c>
      <c r="B22" s="23">
        <v>2</v>
      </c>
      <c r="C22" s="23"/>
      <c r="D22" s="23">
        <v>1</v>
      </c>
      <c r="E22" s="23"/>
      <c r="F22" s="23"/>
      <c r="G22" s="23">
        <v>3</v>
      </c>
      <c r="L22" s="44" t="s">
        <v>247</v>
      </c>
      <c r="M22" t="s">
        <v>251</v>
      </c>
    </row>
    <row r="23" spans="1:18">
      <c r="A23" t="s">
        <v>203</v>
      </c>
      <c r="B23" s="23">
        <v>2</v>
      </c>
      <c r="C23" s="23"/>
      <c r="D23" s="23">
        <v>1</v>
      </c>
      <c r="E23" s="23"/>
      <c r="F23" s="23"/>
      <c r="G23" s="23">
        <v>3</v>
      </c>
      <c r="L23" s="44" t="s">
        <v>248</v>
      </c>
      <c r="M23" t="s">
        <v>251</v>
      </c>
    </row>
    <row r="24" spans="1:18">
      <c r="A24" t="s">
        <v>102</v>
      </c>
      <c r="B24" s="23"/>
      <c r="C24" s="23">
        <v>1</v>
      </c>
      <c r="D24" s="23">
        <v>2</v>
      </c>
      <c r="E24" s="23"/>
      <c r="F24" s="23"/>
      <c r="G24" s="23">
        <v>3</v>
      </c>
    </row>
    <row r="25" spans="1:18">
      <c r="A25" t="s">
        <v>112</v>
      </c>
      <c r="B25" s="23"/>
      <c r="C25" s="23">
        <v>2</v>
      </c>
      <c r="D25" s="23">
        <v>1</v>
      </c>
      <c r="E25" s="23"/>
      <c r="F25" s="23"/>
      <c r="G25" s="23">
        <v>3</v>
      </c>
      <c r="L25" s="44" t="s">
        <v>252</v>
      </c>
      <c r="M25" s="44" t="s">
        <v>92</v>
      </c>
    </row>
    <row r="26" spans="1:18">
      <c r="A26" t="s">
        <v>117</v>
      </c>
      <c r="B26" s="23"/>
      <c r="C26" s="23">
        <v>2</v>
      </c>
      <c r="D26" s="23">
        <v>1</v>
      </c>
      <c r="E26" s="23"/>
      <c r="F26" s="23"/>
      <c r="G26" s="23">
        <v>3</v>
      </c>
      <c r="L26" s="44" t="s">
        <v>99</v>
      </c>
      <c r="M26" t="s">
        <v>240</v>
      </c>
      <c r="N26" t="s">
        <v>244</v>
      </c>
      <c r="O26" t="s">
        <v>239</v>
      </c>
      <c r="P26" t="s">
        <v>245</v>
      </c>
      <c r="Q26" t="s">
        <v>253</v>
      </c>
      <c r="R26" t="s">
        <v>254</v>
      </c>
    </row>
    <row r="27" spans="1:18">
      <c r="A27" t="s">
        <v>123</v>
      </c>
      <c r="B27" s="23"/>
      <c r="C27" s="23"/>
      <c r="D27" s="23">
        <v>3</v>
      </c>
      <c r="E27" s="23"/>
      <c r="F27" s="23"/>
      <c r="G27" s="23">
        <v>3</v>
      </c>
      <c r="L27" t="s">
        <v>111</v>
      </c>
      <c r="M27" s="23">
        <v>21</v>
      </c>
      <c r="N27" s="23">
        <v>7</v>
      </c>
      <c r="O27" s="23">
        <v>33</v>
      </c>
      <c r="P27" s="23">
        <v>2</v>
      </c>
      <c r="Q27" s="23"/>
      <c r="R27" s="23">
        <v>63</v>
      </c>
    </row>
    <row r="28" spans="1:18">
      <c r="A28" t="s">
        <v>127</v>
      </c>
      <c r="B28" s="23"/>
      <c r="C28" s="23">
        <v>1</v>
      </c>
      <c r="D28" s="23">
        <v>2</v>
      </c>
      <c r="E28" s="23"/>
      <c r="F28" s="23"/>
      <c r="G28" s="23">
        <v>3</v>
      </c>
      <c r="L28" t="s">
        <v>253</v>
      </c>
      <c r="M28" s="23"/>
      <c r="N28" s="23"/>
      <c r="O28" s="23"/>
      <c r="P28" s="23"/>
      <c r="Q28" s="23"/>
      <c r="R28" s="23"/>
    </row>
    <row r="29" spans="1:18">
      <c r="A29" t="s">
        <v>131</v>
      </c>
      <c r="B29" s="23"/>
      <c r="C29" s="23">
        <v>1</v>
      </c>
      <c r="D29" s="23">
        <v>2</v>
      </c>
      <c r="E29" s="23"/>
      <c r="F29" s="23"/>
      <c r="G29" s="23">
        <v>3</v>
      </c>
      <c r="L29" t="s">
        <v>254</v>
      </c>
      <c r="M29" s="23">
        <v>21</v>
      </c>
      <c r="N29" s="23">
        <v>7</v>
      </c>
      <c r="O29" s="23">
        <v>33</v>
      </c>
      <c r="P29" s="23">
        <v>2</v>
      </c>
      <c r="Q29" s="23"/>
      <c r="R29" s="23">
        <v>63</v>
      </c>
    </row>
    <row r="30" spans="1:18">
      <c r="A30" t="s">
        <v>137</v>
      </c>
      <c r="B30" s="23">
        <v>1</v>
      </c>
      <c r="C30" s="23"/>
      <c r="D30" s="23">
        <v>2</v>
      </c>
      <c r="E30" s="23"/>
      <c r="F30" s="23"/>
      <c r="G30" s="23">
        <v>3</v>
      </c>
    </row>
    <row r="31" spans="1:18">
      <c r="A31" t="s">
        <v>142</v>
      </c>
      <c r="B31" s="23">
        <v>1</v>
      </c>
      <c r="C31" s="23"/>
      <c r="D31" s="23">
        <v>2</v>
      </c>
      <c r="E31" s="23"/>
      <c r="F31" s="23"/>
      <c r="G31" s="23">
        <v>3</v>
      </c>
    </row>
    <row r="32" spans="1:18">
      <c r="A32" t="s">
        <v>146</v>
      </c>
      <c r="B32" s="23">
        <v>1</v>
      </c>
      <c r="C32" s="23"/>
      <c r="D32" s="23">
        <v>1</v>
      </c>
      <c r="E32" s="23">
        <v>1</v>
      </c>
      <c r="F32" s="23"/>
      <c r="G32" s="23">
        <v>3</v>
      </c>
    </row>
    <row r="33" spans="1:7">
      <c r="A33" t="s">
        <v>150</v>
      </c>
      <c r="B33" s="23">
        <v>1</v>
      </c>
      <c r="C33" s="23"/>
      <c r="D33" s="23">
        <v>1</v>
      </c>
      <c r="E33" s="23">
        <v>1</v>
      </c>
      <c r="F33" s="23"/>
      <c r="G33" s="23">
        <v>3</v>
      </c>
    </row>
    <row r="34" spans="1:7">
      <c r="A34" t="s">
        <v>154</v>
      </c>
      <c r="B34" s="23">
        <v>1</v>
      </c>
      <c r="C34" s="23"/>
      <c r="D34" s="23">
        <v>2</v>
      </c>
      <c r="E34" s="23"/>
      <c r="F34" s="23"/>
      <c r="G34" s="23">
        <v>3</v>
      </c>
    </row>
    <row r="35" spans="1:7">
      <c r="A35" t="s">
        <v>52</v>
      </c>
      <c r="B35" s="23">
        <v>1</v>
      </c>
      <c r="C35" s="23"/>
      <c r="D35" s="23">
        <v>2</v>
      </c>
      <c r="E35" s="23"/>
      <c r="F35" s="23"/>
      <c r="G35" s="23">
        <v>3</v>
      </c>
    </row>
    <row r="36" spans="1:7">
      <c r="A36" t="s">
        <v>164</v>
      </c>
      <c r="B36" s="23">
        <v>1</v>
      </c>
      <c r="C36" s="23"/>
      <c r="D36" s="23">
        <v>2</v>
      </c>
      <c r="E36" s="23"/>
      <c r="F36" s="23"/>
      <c r="G36" s="23">
        <v>3</v>
      </c>
    </row>
    <row r="37" spans="1:7">
      <c r="A37" t="s">
        <v>167</v>
      </c>
      <c r="B37" s="23">
        <v>1</v>
      </c>
      <c r="C37" s="23"/>
      <c r="D37" s="23">
        <v>2</v>
      </c>
      <c r="E37" s="23"/>
      <c r="F37" s="23"/>
      <c r="G37" s="23">
        <v>3</v>
      </c>
    </row>
    <row r="38" spans="1:7">
      <c r="A38" t="s">
        <v>64</v>
      </c>
      <c r="B38" s="23">
        <v>1</v>
      </c>
      <c r="C38" s="23"/>
      <c r="D38" s="23">
        <v>2</v>
      </c>
      <c r="E38" s="23"/>
      <c r="F38" s="23"/>
      <c r="G38" s="23">
        <v>3</v>
      </c>
    </row>
    <row r="39" spans="1:7">
      <c r="A39" t="s">
        <v>177</v>
      </c>
      <c r="B39" s="23">
        <v>2</v>
      </c>
      <c r="C39" s="23"/>
      <c r="D39" s="23">
        <v>1</v>
      </c>
      <c r="E39" s="23"/>
      <c r="F39" s="23"/>
      <c r="G39" s="23">
        <v>3</v>
      </c>
    </row>
    <row r="40" spans="1:7">
      <c r="A40" t="s">
        <v>182</v>
      </c>
      <c r="B40" s="23">
        <v>2</v>
      </c>
      <c r="C40" s="23"/>
      <c r="D40" s="23">
        <v>1</v>
      </c>
      <c r="E40" s="23"/>
      <c r="F40" s="23"/>
      <c r="G40" s="23">
        <v>3</v>
      </c>
    </row>
    <row r="41" spans="1:7">
      <c r="A41" t="s">
        <v>76</v>
      </c>
      <c r="B41" s="23">
        <v>2</v>
      </c>
      <c r="C41" s="23"/>
      <c r="D41" s="23">
        <v>1</v>
      </c>
      <c r="E41" s="23"/>
      <c r="F41" s="23"/>
      <c r="G41" s="23">
        <v>3</v>
      </c>
    </row>
    <row r="42" spans="1:7">
      <c r="A42" t="s">
        <v>81</v>
      </c>
      <c r="B42" s="23">
        <v>2</v>
      </c>
      <c r="C42" s="23"/>
      <c r="D42" s="23">
        <v>1</v>
      </c>
      <c r="E42" s="23"/>
      <c r="F42" s="23"/>
      <c r="G42" s="23">
        <v>3</v>
      </c>
    </row>
    <row r="43" spans="1:7">
      <c r="A43" t="s">
        <v>253</v>
      </c>
      <c r="B43" s="23"/>
      <c r="C43" s="23"/>
      <c r="D43" s="23"/>
      <c r="E43" s="23"/>
      <c r="F43" s="23"/>
      <c r="G43" s="23"/>
    </row>
    <row r="44" spans="1:7">
      <c r="A44" t="s">
        <v>254</v>
      </c>
      <c r="B44" s="23">
        <v>21</v>
      </c>
      <c r="C44" s="23">
        <v>7</v>
      </c>
      <c r="D44" s="23">
        <v>33</v>
      </c>
      <c r="E44" s="23">
        <v>2</v>
      </c>
      <c r="F44" s="23"/>
      <c r="G44" s="23">
        <v>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AAB0-EF02-4AAE-ACEA-F128ACA6F242}">
  <dimension ref="A1"/>
  <sheetViews>
    <sheetView topLeftCell="A12" workbookViewId="0">
      <selection activeCell="Q29" sqref="Q29"/>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1E7A-57F6-4B5E-812F-5909EF7FAA07}">
  <dimension ref="A1:M30"/>
  <sheetViews>
    <sheetView tabSelected="1" topLeftCell="B11" workbookViewId="0">
      <selection activeCell="I22" sqref="I22"/>
    </sheetView>
  </sheetViews>
  <sheetFormatPr defaultRowHeight="12.75"/>
  <cols>
    <col min="1" max="1" width="13.42578125" bestFit="1" customWidth="1"/>
    <col min="2" max="2" width="22.140625" bestFit="1" customWidth="1"/>
    <col min="3" max="3" width="14.28515625" bestFit="1" customWidth="1"/>
    <col min="4" max="4" width="20.140625" customWidth="1"/>
    <col min="5" max="5" width="10" bestFit="1" customWidth="1"/>
    <col min="6" max="6" width="5.140625" customWidth="1"/>
    <col min="7" max="7" width="6.5703125" customWidth="1"/>
    <col min="8" max="8" width="6.28515625" customWidth="1"/>
    <col min="9" max="9" width="11.28515625" bestFit="1" customWidth="1"/>
    <col min="10" max="10" width="23.28515625" customWidth="1"/>
    <col min="11" max="11" width="23" customWidth="1"/>
    <col min="12" max="12" width="13.140625" bestFit="1" customWidth="1"/>
    <col min="13" max="13" width="36.5703125" bestFit="1" customWidth="1"/>
  </cols>
  <sheetData>
    <row r="1" spans="1:8">
      <c r="A1" t="s">
        <v>87</v>
      </c>
      <c r="B1" t="s">
        <v>88</v>
      </c>
      <c r="C1" t="s">
        <v>23</v>
      </c>
      <c r="D1" t="s">
        <v>89</v>
      </c>
      <c r="E1" t="s">
        <v>90</v>
      </c>
      <c r="F1" t="s">
        <v>91</v>
      </c>
      <c r="G1" t="s">
        <v>92</v>
      </c>
      <c r="H1" t="s">
        <v>97</v>
      </c>
    </row>
    <row r="2" spans="1:8">
      <c r="A2" t="str">
        <f>Table2[[#This Row],[Scenario ID]]</f>
        <v>TS1</v>
      </c>
      <c r="B2" t="str">
        <f>Table2[[#This Row],[Scenario]]</f>
        <v>Đăng ký</v>
      </c>
      <c r="C2" t="str">
        <f>Table2[[#This Row],[Test Case ID]]</f>
        <v>TC01.1</v>
      </c>
      <c r="D2" t="str">
        <f>Table2[[#This Row],[Test Case Name]]</f>
        <v>Đăng ký hợp lệ</v>
      </c>
      <c r="E2" t="str">
        <f>Table2[[#This Row],[Test Case Description]]</f>
        <v>B1: Điền đúng email hợp lệ 
B2: Điền đúng password theo yêu cầu 
B3: Điền Tên của người dùng 
B4: Nhấn nút đăng ký</v>
      </c>
      <c r="F2" t="str">
        <f>Table2[[#This Row],[Expected Result]]</f>
        <v>Đăng ký thành công kèm thông báo</v>
      </c>
      <c r="G2" t="s">
        <v>257</v>
      </c>
      <c r="H2" t="str">
        <f>Table2[[#This Row],[Module]]</f>
        <v>Auth</v>
      </c>
    </row>
    <row r="3" spans="1:8">
      <c r="A3" t="str">
        <f>Table2[[#This Row],[Scenario ID]]</f>
        <v>TS1</v>
      </c>
      <c r="B3" t="str">
        <f>Table2[[#This Row],[Scenario]]</f>
        <v>Đăng ký</v>
      </c>
      <c r="C3" t="str">
        <f>Table2[[#This Row],[Test Case ID]]</f>
        <v>TC01.2</v>
      </c>
      <c r="D3" t="str">
        <f>Table2[[#This Row],[Test Case Name]]</f>
        <v>Đăng ký email trùng với user đã tồn tại trong hệ thống</v>
      </c>
      <c r="E3" t="str">
        <f>Table2[[#This Row],[Test Case Description]]</f>
        <v>B1: Tạo sẵn 1 user với email trong hệ thống 
B2: Đăng ký thêm với cùng email đó 
B3: Nhấn nút đăng ký</v>
      </c>
      <c r="F3" t="str">
        <f>Table2[[#This Row],[Expected Result]]</f>
        <v>Hệ thống báo lỗi email đã được sử dụng</v>
      </c>
      <c r="G3" t="s">
        <v>257</v>
      </c>
      <c r="H3" t="str">
        <f>Table2[[#This Row],[Module]]</f>
        <v>Auth</v>
      </c>
    </row>
    <row r="4" spans="1:8">
      <c r="A4" t="str">
        <f>Table2[[#This Row],[Scenario ID]]</f>
        <v>TS1</v>
      </c>
      <c r="B4" t="str">
        <f>Table2[[#This Row],[Scenario]]</f>
        <v>Đăng ký</v>
      </c>
      <c r="C4" t="str">
        <f>Table2[[#This Row],[Test Case ID]]</f>
        <v>TC01.3</v>
      </c>
      <c r="D4" t="str">
        <f>Table2[[#This Row],[Test Case Name]]</f>
        <v>Đăng ký bỏ trống trường email hoặc trường password</v>
      </c>
      <c r="E4" t="str">
        <f>Table2[[#This Row],[Test Case Description]]</f>
        <v>B1: Điền Tên người dùng 
B2: bỏ trống email hoặc password
B3: nhấn nút đăng ký</v>
      </c>
      <c r="F4" t="str">
        <f>Table2[[#This Row],[Expected Result]]</f>
        <v>Hệ thống báo lỗi cần nhập email/password</v>
      </c>
      <c r="G4" t="s">
        <v>257</v>
      </c>
      <c r="H4" t="str">
        <f>Table2[[#This Row],[Module]]</f>
        <v>Auth</v>
      </c>
    </row>
    <row r="5" spans="1:8">
      <c r="A5" t="str">
        <f>Table2[[#This Row],[Scenario ID]]</f>
        <v>TS2</v>
      </c>
      <c r="B5" t="str">
        <f>Table2[[#This Row],[Scenario]]</f>
        <v>Đăng nhập</v>
      </c>
      <c r="C5" t="str">
        <f>Table2[[#This Row],[Test Case ID]]</f>
        <v>TC02.1</v>
      </c>
      <c r="D5" t="str">
        <f>Table2[[#This Row],[Test Case Name]]</f>
        <v>Đăng nhập hợp lệ</v>
      </c>
      <c r="E5" t="str">
        <f>Table2[[#This Row],[Test Case Description]]</f>
        <v>B1: Điền thông tin email
B2: Điền thông tin password 
B3: Nhấn nút đăng nhập</v>
      </c>
      <c r="F5" t="str">
        <f>Table2[[#This Row],[Expected Result]]</f>
        <v>Hệ thống thông báo đăng nhập thành công và điều hướng đến trang chủ</v>
      </c>
      <c r="G5" t="s">
        <v>257</v>
      </c>
      <c r="H5" t="str">
        <f>Table2[[#This Row],[Module]]</f>
        <v>Auth</v>
      </c>
    </row>
    <row r="6" spans="1:8">
      <c r="A6" t="str">
        <f>Table2[[#This Row],[Scenario ID]]</f>
        <v>TS2</v>
      </c>
      <c r="B6" t="str">
        <f>Table2[[#This Row],[Scenario]]</f>
        <v>Đăng nhập</v>
      </c>
      <c r="C6" t="str">
        <f>Table2[[#This Row],[Test Case ID]]</f>
        <v>TC02.2</v>
      </c>
      <c r="D6" t="str">
        <f>Table2[[#This Row],[Test Case Name]]</f>
        <v>Đăng nhập sai pass</v>
      </c>
      <c r="E6" t="str">
        <f>Table2[[#This Row],[Test Case Description]]</f>
        <v>B1: Điền thông tin email
B2: Điền thông tin password sai
B3: Nhấn nút đăng nhập</v>
      </c>
      <c r="F6" t="str">
        <f>Table2[[#This Row],[Expected Result]]</f>
        <v>Hệ thống báo lỗi mật khẩu không đúng</v>
      </c>
      <c r="G6" t="s">
        <v>257</v>
      </c>
      <c r="H6" t="str">
        <f>Table2[[#This Row],[Module]]</f>
        <v>Auth</v>
      </c>
    </row>
    <row r="7" spans="1:8">
      <c r="A7" t="str">
        <f>Table2[[#This Row],[Scenario ID]]</f>
        <v>TS2</v>
      </c>
      <c r="B7" t="str">
        <f>Table2[[#This Row],[Scenario]]</f>
        <v>Đăng nhập</v>
      </c>
      <c r="C7" t="str">
        <f>Table2[[#This Row],[Test Case ID]]</f>
        <v>TC02.3</v>
      </c>
      <c r="D7" t="str">
        <f>Table2[[#This Row],[Test Case Name]]</f>
        <v>Đăng nhập sai email</v>
      </c>
      <c r="E7" t="str">
        <f>Table2[[#This Row],[Test Case Description]]</f>
        <v>B1: Điền thông tin email sai
B2: Điền thông tin password đúng
B3: Nhấn nút đăng nhập</v>
      </c>
      <c r="F7" t="str">
        <f>Table2[[#This Row],[Expected Result]]</f>
        <v>Hệ thống báo lỗi email không đúng</v>
      </c>
      <c r="G7" t="s">
        <v>257</v>
      </c>
      <c r="H7" t="str">
        <f>Table2[[#This Row],[Module]]</f>
        <v>Auth</v>
      </c>
    </row>
    <row r="8" spans="1:8">
      <c r="A8" t="str">
        <f>Table2[[#This Row],[Scenario ID]]</f>
        <v>TS3</v>
      </c>
      <c r="B8" t="str">
        <f>Table2[[#This Row],[Scenario]]</f>
        <v>Tạo bài viết</v>
      </c>
      <c r="C8" t="str">
        <f>Table2[[#This Row],[Test Case ID]]</f>
        <v>TC03.1</v>
      </c>
      <c r="D8" t="str">
        <f>Table2[[#This Row],[Test Case Name]]</f>
        <v>Kiểm tra UI form tạo bài viết có đủ các trường thông tin</v>
      </c>
      <c r="E8" t="str">
        <f>Table2[[#This Row],[Test Case Description]]</f>
        <v>B1: Nhấn nút New Article 
B2: Xác nhận đủ các field (Title, About, Body, Tags)</v>
      </c>
      <c r="F8" t="str">
        <f>Table2[[#This Row],[Expected Result]]</f>
        <v>Có đủ các field (Title, About, Body, Tags)</v>
      </c>
      <c r="G8" t="s">
        <v>257</v>
      </c>
      <c r="H8" t="str">
        <f>Table2[[#This Row],[Module]]</f>
        <v>Article</v>
      </c>
    </row>
    <row r="9" spans="1:8">
      <c r="A9" t="str">
        <f>Table2[[#This Row],[Scenario ID]]</f>
        <v>TS3</v>
      </c>
      <c r="B9" t="str">
        <f>Table2[[#This Row],[Scenario]]</f>
        <v>Tạo bài viết</v>
      </c>
      <c r="C9" t="str">
        <f>Table2[[#This Row],[Test Case ID]]</f>
        <v>TC03.2</v>
      </c>
      <c r="D9" t="str">
        <f>Table2[[#This Row],[Test Case Name]]</f>
        <v>Kiểm tra khi nhấn nút publish article nhưng bỏ trống các trường bắt buộc</v>
      </c>
      <c r="E9" t="str">
        <f>Table2[[#This Row],[Test Case Description]]</f>
        <v>B1: Nhấn nút New Article 
B2: bỏ trống 1 trong các fields (Title, About, Body)
B3: nhấn nút publish article</v>
      </c>
      <c r="F9" t="str">
        <f>Table2[[#This Row],[Expected Result]]</f>
        <v>Hệ thống báo lỗi cần điền các fields (Title, About, Body)</v>
      </c>
      <c r="G9" t="s">
        <v>257</v>
      </c>
      <c r="H9" t="str">
        <f>Table2[[#This Row],[Module]]</f>
        <v>Article</v>
      </c>
    </row>
    <row r="10" spans="1:8">
      <c r="A10" t="str">
        <f>Table2[[#This Row],[Scenario ID]]</f>
        <v>TS3</v>
      </c>
      <c r="B10" t="str">
        <f>Table2[[#This Row],[Scenario]]</f>
        <v>Tạo bài viết</v>
      </c>
      <c r="C10" t="str">
        <f>Table2[[#This Row],[Test Case ID]]</f>
        <v>TC03.3</v>
      </c>
      <c r="D10" t="str">
        <f>Table2[[#This Row],[Test Case Name]]</f>
        <v>Kiểm tra tạo bài viết với Title đã tồn tại</v>
      </c>
      <c r="E10" t="str">
        <f>Table2[[#This Row],[Test Case Description]]</f>
        <v xml:space="preserve">B1: Nhấn nút New Article 
B2: điền đủ các fields (Title, About, Body, Tags)
B3: nhấn nút publish article
B4: Nhấn nút New Article 
B5: điền đủ các fields  (Title, About, Body, Tags) nhưng với title name trùng với B2
B6: nhấn nút publish article
</v>
      </c>
      <c r="F10" t="str">
        <f>Table2[[#This Row],[Expected Result]]</f>
        <v xml:space="preserve">Hệ thống cho phép tạo thành công bình thường </v>
      </c>
      <c r="G10" t="s">
        <v>258</v>
      </c>
      <c r="H10" t="str">
        <f>Table2[[#This Row],[Module]]</f>
        <v>Article</v>
      </c>
    </row>
    <row r="11" spans="1:8">
      <c r="A11" t="str">
        <f>Table2[[#This Row],[Scenario ID]]</f>
        <v>TS3</v>
      </c>
      <c r="B11" t="str">
        <f>Table2[[#This Row],[Scenario]]</f>
        <v>Tạo bài viết</v>
      </c>
      <c r="C11" t="str">
        <f>Table2[[#This Row],[Test Case ID]]</f>
        <v>TC03.4</v>
      </c>
      <c r="D11" t="str">
        <f>Table2[[#This Row],[Test Case Name]]</f>
        <v>Kiểm tra số lượng ký tự giới hạn trong các fields</v>
      </c>
      <c r="E11" t="str">
        <f>Table2[[#This Row],[Test Case Description]]</f>
        <v>Boundary testing</v>
      </c>
      <c r="F11" t="str">
        <f>Table2[[#This Row],[Expected Result]]</f>
        <v>Giới hạn text</v>
      </c>
      <c r="G11" t="s">
        <v>258</v>
      </c>
      <c r="H11" t="str">
        <f>Table2[[#This Row],[Module]]</f>
        <v>Article</v>
      </c>
    </row>
    <row r="12" spans="1:8">
      <c r="A12" t="str">
        <f>Table2[[#This Row],[Scenario ID]]</f>
        <v>TS3</v>
      </c>
      <c r="B12" t="str">
        <f>Table2[[#This Row],[Scenario]]</f>
        <v>Tạo bài viết</v>
      </c>
      <c r="C12" t="str">
        <f>Table2[[#This Row],[Test Case ID]]</f>
        <v>TC03.5</v>
      </c>
      <c r="D12" t="str">
        <f>Table2[[#This Row],[Test Case Name]]</f>
        <v>Kiểm tra bài viết hiển thị trên Global Feed,  My Article trong User Profile sau khi tạo</v>
      </c>
      <c r="E12" t="str">
        <f>Table2[[#This Row],[Test Case Description]]</f>
        <v>B1: tạo bài viết
B2: truy cập các trang Global Feed, My Article trong User Profile và kiểm tra bài viết</v>
      </c>
      <c r="F12" t="str">
        <f>Table2[[#This Row],[Expected Result]]</f>
        <v xml:space="preserve">Bài viết mới tạo hiện thị trên đầu ở các trang Global Feed, My Article trong User Profile </v>
      </c>
      <c r="G12" t="s">
        <v>257</v>
      </c>
      <c r="H12" t="str">
        <f>Table2[[#This Row],[Module]]</f>
        <v>Article</v>
      </c>
    </row>
    <row r="13" spans="1:8">
      <c r="A13" t="str">
        <f>Table2[[#This Row],[Scenario ID]]</f>
        <v>TS4</v>
      </c>
      <c r="B13" t="str">
        <f>Table2[[#This Row],[Scenario]]</f>
        <v>Đọc bài viết</v>
      </c>
      <c r="C13" t="str">
        <f>Table2[[#This Row],[Test Case ID]]</f>
        <v>TC04.1</v>
      </c>
      <c r="D13" t="str">
        <f>Table2[[#This Row],[Test Case Name]]</f>
        <v>Đọc chi tiết bài viết</v>
      </c>
      <c r="E13" t="str">
        <f>Table2[[#This Row],[Test Case Description]]</f>
        <v xml:space="preserve">B1: Nhấn vào tiêu đề bài viết hoặc nhấn vào nút View more
B2: Kiểm tra điều hướng của hệ thống và nội dung văn bản khi xem </v>
      </c>
      <c r="F13" t="str">
        <f>Table2[[#This Row],[Expected Result]]</f>
        <v>Hệ thống điều hướng qua trang xem chi tiết bài viết 
Văn bản được render ngay ngăn, không bị tràn hay vỡ layout</v>
      </c>
      <c r="G13" t="s">
        <v>257</v>
      </c>
      <c r="H13" t="str">
        <f>Table2[[#This Row],[Module]]</f>
        <v>Article</v>
      </c>
    </row>
    <row r="14" spans="1:8">
      <c r="A14" t="str">
        <f>Table2[[#This Row],[Scenario ID]]</f>
        <v>TS5</v>
      </c>
      <c r="B14" t="str">
        <f>Table2[[#This Row],[Scenario]]</f>
        <v>Sửa bài viết</v>
      </c>
      <c r="C14" t="str">
        <f>Table2[[#This Row],[Test Case ID]]</f>
        <v>TC05.1</v>
      </c>
      <c r="D14" t="str">
        <f>Table2[[#This Row],[Test Case Name]]</f>
        <v>Cập nhật bài viết</v>
      </c>
      <c r="E14" t="str">
        <f>Table2[[#This Row],[Test Case Description]]</f>
        <v>B1: Truy câp trang chi tiết bài viết của 1 bài 
B2: nhấn nút edit article
B3: chỉnh sửa nội dung cần thiết
B4: nhấn nút update article</v>
      </c>
      <c r="F14" t="str">
        <f>Table2[[#This Row],[Expected Result]]</f>
        <v xml:space="preserve">Nội dung bài viết được cập nhập tương ứng, và nội dung được cập nhập được hiển thị đồng bộ trên các trang Global Feed,  My Article trong User Profile </v>
      </c>
      <c r="G14" t="s">
        <v>257</v>
      </c>
      <c r="H14" t="str">
        <f>Table2[[#This Row],[Module]]</f>
        <v>Article</v>
      </c>
    </row>
    <row r="15" spans="1:8">
      <c r="A15" t="str">
        <f>Table2[[#This Row],[Scenario ID]]</f>
        <v>TS5</v>
      </c>
      <c r="B15" t="str">
        <f>Table2[[#This Row],[Scenario]]</f>
        <v>Sửa bài viết</v>
      </c>
      <c r="C15" t="str">
        <f>Table2[[#This Row],[Test Case ID]]</f>
        <v>TC05.2</v>
      </c>
      <c r="D15" t="str">
        <f>Table2[[#This Row],[Test Case Name]]</f>
        <v>Kiểm tra khi sửa bài viết cố ý bỏ trống các trường thông tin bắt buộc</v>
      </c>
      <c r="E15" t="str">
        <f>Table2[[#This Row],[Test Case Description]]</f>
        <v>B1: Truy câp trang chi tiết bài viết của 1 bài 
B2: nhấn nút edit article
B3: xóa 1 vài trường thông tin bắt buộc
B4: nhấn nút update article</v>
      </c>
      <c r="F15" t="str">
        <f>Table2[[#This Row],[Expected Result]]</f>
        <v>Hệ thống báo lỗi cần nhập các trường thông tin bắt buộc</v>
      </c>
      <c r="G15" t="s">
        <v>257</v>
      </c>
      <c r="H15" t="str">
        <f>Table2[[#This Row],[Module]]</f>
        <v>Article</v>
      </c>
    </row>
    <row r="16" spans="1:8">
      <c r="A16" t="str">
        <f>Table2[[#This Row],[Scenario ID]]</f>
        <v>TS6</v>
      </c>
      <c r="B16" t="str">
        <f>Table2[[#This Row],[Scenario]]</f>
        <v>Xóa bài viết</v>
      </c>
      <c r="C16" t="str">
        <f>Table2[[#This Row],[Test Case ID]]</f>
        <v>TC06.1</v>
      </c>
      <c r="D16" t="str">
        <f>Table2[[#This Row],[Test Case Name]]</f>
        <v>Xóa bài viết thành công</v>
      </c>
      <c r="E16" t="str">
        <f>Table2[[#This Row],[Test Case Description]]</f>
        <v xml:space="preserve">B1: Truy câp trang chi tiết bài viết của 1 bài 
B2: nhấn nút delete article
B3: nhấn nút xác nhận khi hệ thống hiển thị pop-up xác nhận xóa </v>
      </c>
      <c r="F16" t="str">
        <f>Table2[[#This Row],[Expected Result]]</f>
        <v xml:space="preserve">Bài viết bị xóa khỏi UI và DB và không hiển thị bài viết này ở các trang tương ứng Global Feed,  My Article trong User Profile </v>
      </c>
      <c r="G16" t="s">
        <v>257</v>
      </c>
      <c r="H16" t="str">
        <f>Table2[[#This Row],[Module]]</f>
        <v>Article</v>
      </c>
    </row>
    <row r="17" spans="1:13">
      <c r="A17" t="str">
        <f>Table2[[#This Row],[Scenario ID]]</f>
        <v>TS7</v>
      </c>
      <c r="B17" t="str">
        <f>Table2[[#This Row],[Scenario]]</f>
        <v>Bình luận</v>
      </c>
      <c r="C17" t="str">
        <f>Table2[[#This Row],[Test Case ID]]</f>
        <v>TC07.1</v>
      </c>
      <c r="D17" t="str">
        <f>Table2[[#This Row],[Test Case Name]]</f>
        <v>Thêm bình luận mới thành công</v>
      </c>
      <c r="E17" t="str">
        <f>Table2[[#This Row],[Test Case Description]]</f>
        <v>B1: Truy câp trang chi tiết bài viết của 1 bài 
B2: nhập bình luận và nhấn nút Post comment 
B3: kiểm tra bình luận hiển thị trong bài viết</v>
      </c>
      <c r="F17" t="str">
        <f>Table2[[#This Row],[Expected Result]]</f>
        <v xml:space="preserve">Bình luận hiển thị trong bài viết kèm tên người bình luận và thời gian bình luận
Bình luận mới sẽ hiển thị lên đầu </v>
      </c>
      <c r="G17" t="s">
        <v>257</v>
      </c>
      <c r="H17" t="str">
        <f>Table2[[#This Row],[Module]]</f>
        <v>Social</v>
      </c>
      <c r="J17" t="s">
        <v>259</v>
      </c>
      <c r="K17" t="s">
        <v>260</v>
      </c>
    </row>
    <row r="18" spans="1:13">
      <c r="A18" t="str">
        <f>Table2[[#This Row],[Scenario ID]]</f>
        <v>TS7</v>
      </c>
      <c r="B18" t="str">
        <f>Table2[[#This Row],[Scenario]]</f>
        <v>Bình luận</v>
      </c>
      <c r="C18" t="str">
        <f>Table2[[#This Row],[Test Case ID]]</f>
        <v>TC07.2</v>
      </c>
      <c r="D18" t="str">
        <f>Table2[[#This Row],[Test Case Name]]</f>
        <v>Xóa bình luận</v>
      </c>
      <c r="E18" t="str">
        <f>Table2[[#This Row],[Test Case Description]]</f>
        <v>B1: Truy câp trang chi tiết bài viết của 1 bài viết với điều kiện bài viết đó đã có nhiều bình luận từ chính mình và từ người khác 
B2: kiểm tra nút xóa ở cạnh mỗi bình luận 
B3: kiểm tra sau khi nhấn nút xóa</v>
      </c>
      <c r="F18" t="str">
        <f>Table2[[#This Row],[Expected Result]]</f>
        <v>nút xóa chỉ hiển thị cạnh bình luận của chính mình 
khi nhấn nút xóa thì bình luận biến mất</v>
      </c>
      <c r="G18" t="s">
        <v>257</v>
      </c>
      <c r="H18" t="str">
        <f>Table2[[#This Row],[Module]]</f>
        <v>Social</v>
      </c>
      <c r="J18" t="s">
        <v>261</v>
      </c>
      <c r="K18">
        <f>COUNTA(Table3[Status])/COUNTA(Table3[Scenario ID])*100</f>
        <v>100</v>
      </c>
    </row>
    <row r="19" spans="1:13">
      <c r="A19" t="str">
        <f>Table2[[#This Row],[Scenario ID]]</f>
        <v>TS8</v>
      </c>
      <c r="B19" t="str">
        <f>Table2[[#This Row],[Scenario]]</f>
        <v>Danh sách Yêu thích</v>
      </c>
      <c r="C19" t="str">
        <f>Table2[[#This Row],[Test Case ID]]</f>
        <v>TC08.1</v>
      </c>
      <c r="D19" t="str">
        <f>Table2[[#This Row],[Test Case Name]]</f>
        <v>Thả tim và bỏ thả tym bài viết</v>
      </c>
      <c r="E19" t="str">
        <f>Table2[[#This Row],[Test Case Description]]</f>
        <v>B1: Thả tym và bài viết bất kì ở trang Global Feed 
B2: Kiểm tra bài viết này ở các trang còn lại xem biểu tượng tym có hiển thị đã tick tương ứng không 
B3: bỏ thả tym cho bài viết 
B4: Kiểm tra bài viết này ở các trang còn lại xem biểu tượng tym có bị untick tương ứng không</v>
      </c>
      <c r="F19" t="str">
        <f>Table2[[#This Row],[Expected Result]]</f>
        <v>Khi thả tym, biểu tượng tym sáng màu xanh lá cây, còn khi bỏ thay tym thì biểu tượng tym hiển thị màu trắng</v>
      </c>
      <c r="G19" t="s">
        <v>257</v>
      </c>
      <c r="H19" t="str">
        <f>Table2[[#This Row],[Module]]</f>
        <v>Social</v>
      </c>
      <c r="J19" t="s">
        <v>262</v>
      </c>
      <c r="K19">
        <f>COUNTIF(Table3[Status],"Passed")/COUNTA(Table3[Status])*100</f>
        <v>90.476190476190482</v>
      </c>
    </row>
    <row r="20" spans="1:13">
      <c r="A20" t="str">
        <f>Table2[[#This Row],[Scenario ID]]</f>
        <v>TS9</v>
      </c>
      <c r="B20" t="str">
        <f>Table2[[#This Row],[Scenario]]</f>
        <v>Theo dõi tác giả yêu thích</v>
      </c>
      <c r="C20" t="str">
        <f>Table2[[#This Row],[Test Case ID]]</f>
        <v>TC09.1</v>
      </c>
      <c r="D20" t="str">
        <f>Table2[[#This Row],[Test Case Name]]</f>
        <v xml:space="preserve">Theo dõi tác giả có bài viết hay </v>
      </c>
      <c r="E20" t="str">
        <f>Table2[[#This Row],[Test Case Description]]</f>
        <v xml:space="preserve">B1: xem chi tiết bài viết của 1 tác giả bất kì 
B2: nhấn nút theo dõi tác giả 
B3: Kiểm tra trạng thái nút và trang Your Feed </v>
      </c>
      <c r="F20" t="str">
        <f>Table2[[#This Row],[Expected Result]]</f>
        <v>Nút chuyển qua trạng thái đã follow và trang Your Feed chỉ hiển thị các bài viết của tác giả vừa theo dõi</v>
      </c>
      <c r="G20" t="s">
        <v>257</v>
      </c>
      <c r="H20" t="str">
        <f>Table2[[#This Row],[Module]]</f>
        <v>Social</v>
      </c>
    </row>
    <row r="21" spans="1:13">
      <c r="A21" t="str">
        <f>Table2[[#This Row],[Scenario ID]]</f>
        <v>TS10</v>
      </c>
      <c r="B21" t="str">
        <f>Table2[[#This Row],[Scenario]]</f>
        <v>Hồ sơ cá nhân</v>
      </c>
      <c r="C21" t="str">
        <f>Table2[[#This Row],[Test Case ID]]</f>
        <v>TC10.1</v>
      </c>
      <c r="D21" t="str">
        <f>Table2[[#This Row],[Test Case Name]]</f>
        <v>Kiểm tra tab My Articles</v>
      </c>
      <c r="E21" t="str">
        <f>Table2[[#This Row],[Test Case Description]]</f>
        <v>B1: Truy cập trang User profile 
B2: kiểm tra tab My Articles</v>
      </c>
      <c r="F21" t="str">
        <f>Table2[[#This Row],[Expected Result]]</f>
        <v>Chỉ hiển thị bài viết của chính mình, bài mới nhất sẽ hiển thị lên đầu</v>
      </c>
      <c r="G21" t="s">
        <v>257</v>
      </c>
      <c r="H21" t="str">
        <f>Table2[[#This Row],[Module]]</f>
        <v>Profile</v>
      </c>
      <c r="M21" s="9"/>
    </row>
    <row r="22" spans="1:13">
      <c r="A22" t="str">
        <f>Table2[[#This Row],[Scenario ID]]</f>
        <v>TS10</v>
      </c>
      <c r="B22" t="str">
        <f>Table2[[#This Row],[Scenario]]</f>
        <v>Hồ sơ cá nhân</v>
      </c>
      <c r="C22" t="str">
        <f>Table2[[#This Row],[Test Case ID]]</f>
        <v>TC10.2</v>
      </c>
      <c r="D22" t="str">
        <f>Table2[[#This Row],[Test Case Name]]</f>
        <v>Kiểm tra tab Favorited Articles</v>
      </c>
      <c r="E22" t="str">
        <f>Table2[[#This Row],[Test Case Description]]</f>
        <v>B1: Truy cập trang User profile 
B2: kiểm tra tab Favorited Articles</v>
      </c>
      <c r="F22" t="str">
        <f>Table2[[#This Row],[Expected Result]]</f>
        <v>hiển thị bài viết mà mình đã thả tym, bài mới nhất sẽ hiển thị lên đầu</v>
      </c>
      <c r="G22" t="s">
        <v>257</v>
      </c>
      <c r="H22" t="str">
        <f>Table2[[#This Row],[Module]]</f>
        <v>Profile</v>
      </c>
    </row>
    <row r="26" spans="1:13">
      <c r="D26" s="44" t="s">
        <v>252</v>
      </c>
      <c r="E26" s="44" t="s">
        <v>97</v>
      </c>
    </row>
    <row r="27" spans="1:13">
      <c r="D27" s="44" t="s">
        <v>92</v>
      </c>
      <c r="E27" t="s">
        <v>141</v>
      </c>
      <c r="F27" t="s">
        <v>109</v>
      </c>
      <c r="G27" t="s">
        <v>202</v>
      </c>
      <c r="H27" t="s">
        <v>181</v>
      </c>
      <c r="I27" t="s">
        <v>254</v>
      </c>
    </row>
    <row r="28" spans="1:13">
      <c r="D28" t="s">
        <v>257</v>
      </c>
      <c r="E28" s="23">
        <v>7</v>
      </c>
      <c r="F28" s="23">
        <v>6</v>
      </c>
      <c r="G28" s="23">
        <v>2</v>
      </c>
      <c r="H28" s="23">
        <v>4</v>
      </c>
      <c r="I28" s="23">
        <v>19</v>
      </c>
    </row>
    <row r="29" spans="1:13">
      <c r="D29" t="s">
        <v>258</v>
      </c>
      <c r="E29" s="23">
        <v>2</v>
      </c>
      <c r="F29" s="23"/>
      <c r="G29" s="23"/>
      <c r="H29" s="23"/>
      <c r="I29" s="23">
        <v>2</v>
      </c>
    </row>
    <row r="30" spans="1:13">
      <c r="D30" t="s">
        <v>254</v>
      </c>
      <c r="E30" s="23">
        <v>9</v>
      </c>
      <c r="F30" s="23">
        <v>6</v>
      </c>
      <c r="G30" s="23">
        <v>2</v>
      </c>
      <c r="H30" s="23">
        <v>4</v>
      </c>
      <c r="I30" s="23">
        <v>21</v>
      </c>
    </row>
  </sheetData>
  <pageMargins left="0.7" right="0.7" top="0.75" bottom="0.75" header="0.3" footer="0.3"/>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www.carnegiequality.com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Planning Template</dc:title>
  <dc:subject/>
  <dc:creator>Brad Kuhn</dc:creator>
  <cp:keywords/>
  <dc:description>Version 1.0</dc:description>
  <cp:lastModifiedBy/>
  <cp:revision/>
  <dcterms:created xsi:type="dcterms:W3CDTF">2007-04-24T13:22:48Z</dcterms:created>
  <dcterms:modified xsi:type="dcterms:W3CDTF">2026-04-12T14:50:35Z</dcterms:modified>
  <cp:category/>
  <cp:contentStatus/>
</cp:coreProperties>
</file>